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defaultThemeVersion="164011"/>
  <mc:AlternateContent xmlns:mc="http://schemas.openxmlformats.org/markup-compatibility/2006">
    <mc:Choice Requires="x15">
      <x15ac:absPath xmlns:x15ac="http://schemas.microsoft.com/office/spreadsheetml/2010/11/ac" url="C:\Users\Hp\OneDrive\Documents\"/>
    </mc:Choice>
  </mc:AlternateContent>
  <bookViews>
    <workbookView xWindow="0" yWindow="0" windowWidth="19200" windowHeight="7580" activeTab="2"/>
  </bookViews>
  <sheets>
    <sheet name="Raw Data" sheetId="1" r:id="rId1"/>
    <sheet name="Pivot table Analyzing" sheetId="2" r:id="rId2"/>
    <sheet name="Dashboard" sheetId="3" r:id="rId3"/>
  </sheets>
  <definedNames>
    <definedName name="_xlnm.Print_Area" localSheetId="2">Dashboard!$A$1:$T$32</definedName>
    <definedName name="Slicer_Channel">#N/A</definedName>
    <definedName name="Slicer_Date">#N/A</definedName>
    <definedName name="Slicer_Product">#N/A</definedName>
    <definedName name="Slicer_Region">#N/A</definedName>
    <definedName name="Slicer_SalesPerson">#N/A</definedName>
  </definedNames>
  <calcPr calcId="162913" calcMode="manual"/>
  <pivotCaches>
    <pivotCache cacheId="1603" r:id="rId4"/>
  </pivotCaches>
  <extLst>
    <ext xmlns:x14="http://schemas.microsoft.com/office/spreadsheetml/2009/9/main" uri="{BBE1A952-AA13-448e-AADC-164F8A28A991}">
      <x14:slicerCaches>
        <x14:slicerCache r:id="rId5"/>
        <x14:slicerCache r:id="rId6"/>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<sst xmlns="http://schemas.openxmlformats.org/spreadsheetml/2006/main" count="287" uniqueCount="43">
  <si>
    <t>Date</t>
  </si>
  <si>
    <t>Product</t>
  </si>
  <si>
    <t>Region</t>
  </si>
  <si>
    <t>Channel</t>
  </si>
  <si>
    <t>SalesPerson</t>
  </si>
  <si>
    <t>Sales</t>
  </si>
  <si>
    <t>Basic</t>
  </si>
  <si>
    <t>East</t>
  </si>
  <si>
    <t>Online</t>
  </si>
  <si>
    <t>John</t>
  </si>
  <si>
    <t>Classic</t>
  </si>
  <si>
    <t>North</t>
  </si>
  <si>
    <t>Retail</t>
  </si>
  <si>
    <t>Linda</t>
  </si>
  <si>
    <t>Premium</t>
  </si>
  <si>
    <t>South</t>
  </si>
  <si>
    <t>Direct</t>
  </si>
  <si>
    <t>Paul</t>
  </si>
  <si>
    <t>West</t>
  </si>
  <si>
    <t>Victor</t>
  </si>
  <si>
    <t>2015</t>
  </si>
  <si>
    <t>Jan</t>
  </si>
  <si>
    <t>Feb</t>
  </si>
  <si>
    <t>Mar</t>
  </si>
  <si>
    <t>Apr</t>
  </si>
  <si>
    <t>May</t>
  </si>
  <si>
    <t>Jun</t>
  </si>
  <si>
    <t>Jul</t>
  </si>
  <si>
    <t>Aug</t>
  </si>
  <si>
    <t>Sep</t>
  </si>
  <si>
    <t>Oct</t>
  </si>
  <si>
    <t>Nov</t>
  </si>
  <si>
    <t>Dec</t>
  </si>
  <si>
    <t>2016</t>
  </si>
  <si>
    <t>2017</t>
  </si>
  <si>
    <t>2018</t>
  </si>
  <si>
    <t>Sum of Sales</t>
  </si>
  <si>
    <t xml:space="preserve">Region </t>
  </si>
  <si>
    <t>Column Labels</t>
  </si>
  <si>
    <t xml:space="preserve">Sale Person </t>
  </si>
  <si>
    <t>Danyal</t>
  </si>
  <si>
    <t>Hamza</t>
  </si>
  <si>
    <t>1 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</si>
</sst>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11">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14" fontId="0" fillId="0" borderId="0" xfId="0" applyNumberFormat="1" applyAlignment="1">
      <alignment vertical="center" wrapText="1"/>
    </xf>
    <xf numFmtId="14" fontId="1" fillId="0" borderId="0" xfId="0" applyNumberFormat="1" applyFont="1" applyAlignment="1">
      <alignment horizontal="center" vertical="center" wrapText="1"/>
    </xf>
    <xf numFmtId="14" fontId="0" fillId="0" borderId="0" xfId="0" applyNumberFormat="1"/>
    <xf numFmtId="0" fontId="0" fillId="0" borderId="0" xfId="0" pivotButton="1"/>
    <xf numFmtId="0" fontId="0" fillId="0" borderId="0" xfId="0" applyAlignment="1">
      <alignment horizontal="left"/>
    </xf>
    <xf numFmtId="14" fontId="0" fillId="0" borderId="0" xfId="0" applyNumberFormat="1" applyAlignment="1">
      <alignment horizontal="left" indent="1"/>
    </xf>
    <xf numFmtId="0" fontId="0" fillId="0" borderId="0" xfId="0" applyNumberFormat="1"/>
    <xf numFmtId="0" fontId="0" fillId="2" borderId="0" xfId="0" applyFill="1"/>
  </cellXfs>
  <cellStyles count="1">
    <cellStyle name="Normal" xfId="0" builtinId="0"/>
  </cellStyles>
  <dxfs count="2">
    <dxf>
      <font>
        <b/>
        <i val="0"/>
        <color theme="0"/>
      </font>
      <fill>
        <patternFill>
          <bgColor theme="1"/>
        </patternFill>
      </fill>
    </dxf>
    <dxf>
      <fill>
        <patternFill>
          <bgColor theme="1"/>
        </patternFill>
      </fill>
    </dxf>
  </dxfs>
  <tableStyles count="1" defaultTableStyle="TableStyleMedium2" defaultPivotStyle="PivotStyleLight16">
    <tableStyle name="Slicer Style 1" pivot="0" table="0" count="7">
      <tableStyleElement type="wholeTable" dxfId="1"/>
      <tableStyleElement type="headerRow" dxfId="0"/>
    </tableStyle>
  </tableStyles>
  <extLst>
    <ext xmlns:x14="http://schemas.microsoft.com/office/spreadsheetml/2009/9/main" uri="{46F421CA-312F-682f-3DD2-61675219B42D}">
      <x14:dxfs count="13">
        <dxf>
          <fill>
            <patternFill>
              <bgColor rgb="FFFFC000"/>
            </patternFill>
          </fill>
        </dxf>
        <dxf>
          <fill>
            <patternFill>
              <bgColor rgb="FFFFC000"/>
            </patternFill>
          </fill>
        </dxf>
        <dxf>
          <fill>
            <patternFill>
              <bgColor theme="7" tint="0.39994506668294322"/>
            </patternFill>
          </fill>
        </dxf>
        <dxf>
          <fill>
            <patternFill>
              <bgColor rgb="FFFFC000"/>
            </patternFill>
          </fill>
        </dxf>
        <dxf>
          <fill>
            <patternFill>
              <bgColor theme="7"/>
            </patternFill>
          </fill>
        </dxf>
        <dxf>
          <fill>
            <patternFill>
              <bgColor rgb="FFFFC000"/>
            </patternFill>
          </fill>
        </dxf>
        <dxf>
          <fill>
            <patternFill>
              <bgColor rgb="FFFFC000"/>
            </patternFill>
          </fill>
        </dxf>
        <dxf>
          <fill>
            <patternFill>
              <bgColor theme="7" tint="0.39994506668294322"/>
            </patternFill>
          </fill>
        </dxf>
        <dxf>
          <fill>
            <patternFill>
              <bgColor theme="7"/>
            </patternFill>
          </fill>
        </dxf>
        <dxf>
          <fill>
            <patternFill>
              <bgColor theme="7" tint="0.39994506668294322"/>
            </patternFill>
          </fill>
        </dxf>
        <dxf>
          <fill>
            <patternFill>
              <bgColor theme="7"/>
            </patternFill>
          </fill>
        </dxf>
        <dxf>
          <fill>
            <patternFill>
              <bgColor theme="7" tint="0.39994506668294322"/>
            </patternFill>
          </fill>
        </dxf>
        <dxf>
          <fill>
            <patternFill>
              <bgColor theme="7"/>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0"/>
            <x14:slicerStyleElement type="selectedItemWithData" dxfId="4"/>
            <x14:slicerStyleElement type="hoveredUnselectedItemWithData" dxfId="3"/>
            <x14:slicerStyleElement type="hoveredSelectedItemWithData" dxfId="2"/>
            <x14:slicerStyleElement type="hoveredSelectedItemWithNo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7/relationships/slicerCache" Target="slicerCaches/slicerCache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sale Dashboard by Danyal Javed.xlsm]Pivot table Analyzing!Pivot_SalesTrend</c:name>
    <c:fmtId val="9"/>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0" i="0" baseline="0">
                <a:solidFill>
                  <a:schemeClr val="bg1"/>
                </a:solidFill>
              </a:rPr>
              <a:t>Sale Trend Line </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gradFill>
            <a:gsLst>
              <a:gs pos="7000">
                <a:srgbClr val="FFFF00"/>
              </a:gs>
              <a:gs pos="0">
                <a:schemeClr val="accent1">
                  <a:lumMod val="45000"/>
                  <a:lumOff val="55000"/>
                </a:schemeClr>
              </a:gs>
              <a:gs pos="0">
                <a:schemeClr val="accent1">
                  <a:lumMod val="30000"/>
                  <a:lumOff val="70000"/>
                </a:schemeClr>
              </a:gs>
            </a:gsLst>
            <a:lin ang="5400000" scaled="1"/>
          </a:gradFill>
          <a:ln>
            <a:solidFill>
              <a:srgbClr val="FFFF00"/>
            </a:solidFill>
          </a:ln>
          <a:effectLst/>
          <a:sp3d>
            <a:contourClr>
              <a:srgbClr val="FFFF00"/>
            </a:contourClr>
          </a:sp3d>
        </c:spPr>
        <c:marker>
          <c:symbol val="none"/>
        </c:marker>
      </c:pivotFmt>
      <c:pivotFmt>
        <c:idx val="1"/>
        <c:spPr>
          <a:solidFill>
            <a:schemeClr val="accent1"/>
          </a:solidFill>
          <a:ln w="31750" cap="rnd">
            <a:solidFill>
              <a:srgbClr val="FFFF00"/>
            </a:solidFill>
            <a:round/>
          </a:ln>
          <a:effectLst/>
        </c:spPr>
        <c:marker>
          <c:symbol val="none"/>
        </c:marker>
      </c:pivotFmt>
      <c:pivotFmt>
        <c:idx val="2"/>
        <c:spPr>
          <a:solidFill>
            <a:schemeClr val="accent1"/>
          </a:solidFill>
          <a:ln w="31750" cap="rnd">
            <a:gradFill>
              <a:gsLst>
                <a:gs pos="32000">
                  <a:srgbClr val="FFC000"/>
                </a:gs>
                <a:gs pos="100000">
                  <a:schemeClr val="accent1">
                    <a:lumMod val="45000"/>
                    <a:lumOff val="55000"/>
                  </a:schemeClr>
                </a:gs>
                <a:gs pos="98000">
                  <a:srgbClr val="FFFF00"/>
                </a:gs>
                <a:gs pos="82000">
                  <a:schemeClr val="accent2">
                    <a:lumMod val="60000"/>
                    <a:lumOff val="40000"/>
                  </a:schemeClr>
                </a:gs>
                <a:gs pos="4000">
                  <a:srgbClr val="FFFF00"/>
                </a:gs>
              </a:gsLst>
              <a:lin ang="5400000" scaled="1"/>
            </a:gradFill>
            <a:round/>
          </a:ln>
          <a:effectLst/>
        </c:spPr>
        <c:marker>
          <c:symbol val="none"/>
        </c:marker>
      </c:pivotFmt>
      <c:pivotFmt>
        <c:idx val="3"/>
        <c:spPr>
          <a:solidFill>
            <a:schemeClr val="accent1"/>
          </a:solidFill>
          <a:ln w="31750" cap="rnd">
            <a:gradFill>
              <a:gsLst>
                <a:gs pos="32000">
                  <a:srgbClr val="FFC000"/>
                </a:gs>
                <a:gs pos="100000">
                  <a:schemeClr val="accent1">
                    <a:lumMod val="45000"/>
                    <a:lumOff val="55000"/>
                  </a:schemeClr>
                </a:gs>
                <a:gs pos="98000">
                  <a:srgbClr val="FFFF00"/>
                </a:gs>
                <a:gs pos="82000">
                  <a:schemeClr val="accent2">
                    <a:lumMod val="60000"/>
                    <a:lumOff val="40000"/>
                  </a:schemeClr>
                </a:gs>
                <a:gs pos="4000">
                  <a:srgbClr val="FFFF00"/>
                </a:gs>
              </a:gsLst>
              <a:lin ang="5400000" scaled="1"/>
            </a:gradFill>
            <a:round/>
          </a:ln>
          <a:effectLst/>
        </c:spPr>
        <c:marker>
          <c:symbol val="none"/>
        </c:marker>
      </c:pivotFmt>
      <c:pivotFmt>
        <c:idx val="4"/>
        <c:spPr>
          <a:ln w="31750" cap="rnd">
            <a:gradFill>
              <a:gsLst>
                <a:gs pos="32000">
                  <a:srgbClr val="FFC000"/>
                </a:gs>
                <a:gs pos="100000">
                  <a:schemeClr val="accent1">
                    <a:lumMod val="45000"/>
                    <a:lumOff val="55000"/>
                  </a:schemeClr>
                </a:gs>
                <a:gs pos="98000">
                  <a:srgbClr val="FFFF00"/>
                </a:gs>
                <a:gs pos="82000">
                  <a:schemeClr val="accent2">
                    <a:lumMod val="60000"/>
                    <a:lumOff val="40000"/>
                  </a:schemeClr>
                </a:gs>
                <a:gs pos="4000">
                  <a:srgbClr val="FFFF00"/>
                </a:gs>
              </a:gsLst>
              <a:lin ang="5400000" scaled="1"/>
            </a:gradFill>
            <a:round/>
          </a:ln>
          <a:effectLst/>
        </c:spPr>
        <c:marker>
          <c:symbol val="none"/>
        </c:marker>
      </c:pivotFmt>
    </c:pivotFmts>
    <c:plotArea>
      <c:layout>
        <c:manualLayout>
          <c:layoutTarget val="inner"/>
          <c:xMode val="edge"/>
          <c:yMode val="edge"/>
          <c:x val="7.9136383969956897E-2"/>
          <c:y val="8.8068135778329726E-2"/>
          <c:w val="0.92066999166439401"/>
          <c:h val="0.56624416739574224"/>
        </c:manualLayout>
      </c:layout>
      <c:lineChart>
        <c:grouping val="standard"/>
        <c:varyColors val="0"/>
        <c:ser>
          <c:idx val="0"/>
          <c:order val="0"/>
          <c:tx>
            <c:strRef>
              <c:f>'Pivot table Analyzing'!$B$2</c:f>
              <c:strCache>
                <c:ptCount val="1"/>
                <c:pt idx="0">
                  <c:v>Total</c:v>
                </c:pt>
              </c:strCache>
            </c:strRef>
          </c:tx>
          <c:spPr>
            <a:ln w="31750" cap="rnd">
              <a:gradFill>
                <a:gsLst>
                  <a:gs pos="32000">
                    <a:srgbClr val="FFC000"/>
                  </a:gs>
                  <a:gs pos="100000">
                    <a:schemeClr val="accent1">
                      <a:lumMod val="45000"/>
                      <a:lumOff val="55000"/>
                    </a:schemeClr>
                  </a:gs>
                  <a:gs pos="98000">
                    <a:srgbClr val="FFFF00"/>
                  </a:gs>
                  <a:gs pos="82000">
                    <a:schemeClr val="accent2">
                      <a:lumMod val="60000"/>
                      <a:lumOff val="40000"/>
                    </a:schemeClr>
                  </a:gs>
                  <a:gs pos="4000">
                    <a:srgbClr val="FFFF00"/>
                  </a:gs>
                </a:gsLst>
                <a:lin ang="5400000" scaled="1"/>
              </a:gradFill>
              <a:round/>
            </a:ln>
            <a:effectLst/>
          </c:spPr>
          <c:marker>
            <c:symbol val="none"/>
          </c:marker>
          <c:cat>
            <c:multiLvlStrRef>
              <c:f>'Pivot table Analyzing'!$A$3:$A$54</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lvl>
                <c:lvl>
                  <c:pt idx="0">
                    <c:v>2015</c:v>
                  </c:pt>
                  <c:pt idx="12">
                    <c:v>2016</c:v>
                  </c:pt>
                  <c:pt idx="24">
                    <c:v>2017</c:v>
                  </c:pt>
                  <c:pt idx="36">
                    <c:v>2018</c:v>
                  </c:pt>
                </c:lvl>
              </c:multiLvlStrCache>
            </c:multiLvlStrRef>
          </c:cat>
          <c:val>
            <c:numRef>
              <c:f>'Pivot table Analyzing'!$B$3:$B$54</c:f>
              <c:numCache>
                <c:formatCode>General</c:formatCode>
                <c:ptCount val="48"/>
                <c:pt idx="0">
                  <c:v>12797</c:v>
                </c:pt>
                <c:pt idx="1">
                  <c:v>12453</c:v>
                </c:pt>
                <c:pt idx="2">
                  <c:v>11384</c:v>
                </c:pt>
                <c:pt idx="3">
                  <c:v>11289</c:v>
                </c:pt>
                <c:pt idx="4">
                  <c:v>23838</c:v>
                </c:pt>
                <c:pt idx="5">
                  <c:v>6752</c:v>
                </c:pt>
                <c:pt idx="6">
                  <c:v>12353</c:v>
                </c:pt>
                <c:pt idx="7">
                  <c:v>22313</c:v>
                </c:pt>
                <c:pt idx="8">
                  <c:v>10409</c:v>
                </c:pt>
                <c:pt idx="9">
                  <c:v>8384</c:v>
                </c:pt>
                <c:pt idx="10">
                  <c:v>23501</c:v>
                </c:pt>
                <c:pt idx="11">
                  <c:v>5460</c:v>
                </c:pt>
                <c:pt idx="12">
                  <c:v>19466</c:v>
                </c:pt>
                <c:pt idx="13">
                  <c:v>20981</c:v>
                </c:pt>
                <c:pt idx="14">
                  <c:v>5148</c:v>
                </c:pt>
                <c:pt idx="15">
                  <c:v>6347</c:v>
                </c:pt>
                <c:pt idx="16">
                  <c:v>12694</c:v>
                </c:pt>
                <c:pt idx="17">
                  <c:v>10451</c:v>
                </c:pt>
                <c:pt idx="18">
                  <c:v>12523</c:v>
                </c:pt>
                <c:pt idx="19">
                  <c:v>15407</c:v>
                </c:pt>
                <c:pt idx="20">
                  <c:v>6971</c:v>
                </c:pt>
                <c:pt idx="21">
                  <c:v>8710</c:v>
                </c:pt>
                <c:pt idx="22">
                  <c:v>15602</c:v>
                </c:pt>
                <c:pt idx="23">
                  <c:v>8737</c:v>
                </c:pt>
                <c:pt idx="24">
                  <c:v>24781</c:v>
                </c:pt>
                <c:pt idx="25">
                  <c:v>21864</c:v>
                </c:pt>
                <c:pt idx="26">
                  <c:v>21129</c:v>
                </c:pt>
                <c:pt idx="27">
                  <c:v>6955</c:v>
                </c:pt>
                <c:pt idx="28">
                  <c:v>24035</c:v>
                </c:pt>
                <c:pt idx="29">
                  <c:v>11035</c:v>
                </c:pt>
                <c:pt idx="30">
                  <c:v>9183</c:v>
                </c:pt>
                <c:pt idx="31">
                  <c:v>14980</c:v>
                </c:pt>
                <c:pt idx="32">
                  <c:v>14626</c:v>
                </c:pt>
                <c:pt idx="33">
                  <c:v>19290</c:v>
                </c:pt>
                <c:pt idx="34">
                  <c:v>18328</c:v>
                </c:pt>
                <c:pt idx="35">
                  <c:v>16002</c:v>
                </c:pt>
                <c:pt idx="36">
                  <c:v>5900</c:v>
                </c:pt>
                <c:pt idx="37">
                  <c:v>12488</c:v>
                </c:pt>
                <c:pt idx="38">
                  <c:v>5373</c:v>
                </c:pt>
                <c:pt idx="39">
                  <c:v>9734</c:v>
                </c:pt>
                <c:pt idx="40">
                  <c:v>14455</c:v>
                </c:pt>
                <c:pt idx="41">
                  <c:v>18789</c:v>
                </c:pt>
                <c:pt idx="42">
                  <c:v>22981</c:v>
                </c:pt>
                <c:pt idx="43">
                  <c:v>14824</c:v>
                </c:pt>
                <c:pt idx="44">
                  <c:v>18354</c:v>
                </c:pt>
                <c:pt idx="45">
                  <c:v>15015</c:v>
                </c:pt>
                <c:pt idx="46">
                  <c:v>10262</c:v>
                </c:pt>
                <c:pt idx="47">
                  <c:v>22013</c:v>
                </c:pt>
              </c:numCache>
            </c:numRef>
          </c:val>
          <c:smooth val="0"/>
          <c:extLst>
            <c:ext xmlns:c16="http://schemas.microsoft.com/office/drawing/2014/chart" uri="{C3380CC4-5D6E-409C-BE32-E72D297353CC}">
              <c16:uniqueId val="{00000000-6EC1-4C2D-90FF-413D4F483A51}"/>
            </c:ext>
          </c:extLst>
        </c:ser>
        <c:dLbls>
          <c:showLegendKey val="0"/>
          <c:showVal val="0"/>
          <c:showCatName val="0"/>
          <c:showSerName val="0"/>
          <c:showPercent val="0"/>
          <c:showBubbleSize val="0"/>
        </c:dLbls>
        <c:smooth val="0"/>
        <c:axId val="698467935"/>
        <c:axId val="698455871"/>
      </c:lineChart>
      <c:catAx>
        <c:axId val="698467935"/>
        <c:scaling>
          <c:orientation val="minMax"/>
        </c:scaling>
        <c:delete val="0"/>
        <c:axPos val="b"/>
        <c:numFmt formatCode="General" sourceLinked="1"/>
        <c:majorTickMark val="out"/>
        <c:minorTickMark val="none"/>
        <c:tickLblPos val="nextTo"/>
        <c:spPr>
          <a:noFill/>
          <a:ln w="9525" cap="flat" cmpd="thinThick"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bg1"/>
                </a:solidFill>
                <a:latin typeface="+mn-lt"/>
                <a:ea typeface="+mn-ea"/>
                <a:cs typeface="+mn-cs"/>
              </a:defRPr>
            </a:pPr>
            <a:endParaRPr lang="en-US"/>
          </a:p>
        </c:txPr>
        <c:crossAx val="698455871"/>
        <c:crosses val="autoZero"/>
        <c:auto val="1"/>
        <c:lblAlgn val="ctr"/>
        <c:lblOffset val="100"/>
        <c:noMultiLvlLbl val="0"/>
      </c:catAx>
      <c:valAx>
        <c:axId val="698455871"/>
        <c:scaling>
          <c:orientation val="minMax"/>
        </c:scaling>
        <c:delete val="0"/>
        <c:axPos val="l"/>
        <c:numFmt formatCode="General" sourceLinked="1"/>
        <c:majorTickMark val="none"/>
        <c:minorTickMark val="none"/>
        <c:tickLblPos val="nextTo"/>
        <c:spPr>
          <a:solidFill>
            <a:schemeClr val="tx1"/>
          </a:solidFill>
          <a:ln>
            <a:solidFill>
              <a:sysClr val="windowText" lastClr="000000"/>
            </a:solid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698467935"/>
        <c:crosses val="autoZero"/>
        <c:crossBetween val="between"/>
      </c:valAx>
      <c:spPr>
        <a:noFill/>
        <a:ln>
          <a:noFill/>
        </a:ln>
        <a:effectLst/>
      </c:spPr>
    </c:plotArea>
    <c:plotVisOnly val="1"/>
    <c:dispBlanksAs val="gap"/>
    <c:showDLblsOverMax val="0"/>
  </c:chart>
  <c:spPr>
    <a:noFill/>
    <a:ln w="9525" cap="flat" cmpd="sng" algn="ctr">
      <a:noFill/>
      <a:round/>
    </a:ln>
    <a:effectLst>
      <a:softEdge rad="0"/>
    </a:effectLst>
  </c:spPr>
  <c:txPr>
    <a:bodyPr rot="0"/>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sale Dashboard by Danyal Javed.xlsm]Pivot table Analyzing!Pivot_TopSales</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0" i="0" baseline="0">
                <a:solidFill>
                  <a:schemeClr val="bg1"/>
                </a:solidFill>
              </a:rPr>
              <a:t>Top Sale </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gradFill>
            <a:gsLst>
              <a:gs pos="46000">
                <a:schemeClr val="accent4"/>
              </a:gs>
              <a:gs pos="0">
                <a:schemeClr val="accent4">
                  <a:lumMod val="40000"/>
                  <a:lumOff val="60000"/>
                </a:schemeClr>
              </a:gs>
            </a:gsLst>
            <a:lin ang="5400000" scaled="1"/>
          </a:gradFill>
          <a:ln>
            <a:noFill/>
          </a:ln>
          <a:effectLst>
            <a:softEdge rad="38100"/>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8"/>
        <c:spPr>
          <a:gradFill>
            <a:gsLst>
              <a:gs pos="97000">
                <a:srgbClr val="FFC000"/>
              </a:gs>
              <a:gs pos="52000">
                <a:schemeClr val="accent4">
                  <a:lumMod val="40000"/>
                  <a:lumOff val="60000"/>
                </a:schemeClr>
              </a:gs>
            </a:gsLst>
            <a:lin ang="5400000" scaled="1"/>
          </a:gradFill>
          <a:ln>
            <a:noFill/>
          </a:ln>
          <a:effectLst>
            <a:softEdge rad="38100"/>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9"/>
        <c:spPr>
          <a:gradFill>
            <a:gsLst>
              <a:gs pos="100000">
                <a:srgbClr val="FFC000"/>
              </a:gs>
              <a:gs pos="9000">
                <a:schemeClr val="accent4">
                  <a:lumMod val="60000"/>
                  <a:lumOff val="40000"/>
                </a:schemeClr>
              </a:gs>
            </a:gsLst>
            <a:lin ang="5400000" scaled="1"/>
          </a:gradFill>
          <a:ln>
            <a:noFill/>
          </a:ln>
          <a:effectLst>
            <a:softEdge rad="25400"/>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gradFill>
            <a:gsLst>
              <a:gs pos="7000">
                <a:srgbClr val="FFC000"/>
              </a:gs>
              <a:gs pos="0">
                <a:schemeClr val="accent1">
                  <a:lumMod val="45000"/>
                  <a:lumOff val="55000"/>
                </a:schemeClr>
              </a:gs>
              <a:gs pos="100000">
                <a:srgbClr val="FFFF00"/>
              </a:gs>
            </a:gsLst>
            <a:lin ang="5400000" scaled="1"/>
          </a:gradFill>
          <a:ln>
            <a:noFill/>
          </a:ln>
          <a:effectLst>
            <a:softEdge rad="25400"/>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'Pivot table Analyzing'!$E$2:$E$3</c:f>
              <c:strCache>
                <c:ptCount val="1"/>
                <c:pt idx="0">
                  <c:v>2015</c:v>
                </c:pt>
              </c:strCache>
            </c:strRef>
          </c:tx>
          <c:spPr>
            <a:gradFill>
              <a:gsLst>
                <a:gs pos="46000">
                  <a:schemeClr val="accent4"/>
                </a:gs>
                <a:gs pos="0">
                  <a:schemeClr val="accent4">
                    <a:lumMod val="40000"/>
                    <a:lumOff val="60000"/>
                  </a:schemeClr>
                </a:gs>
              </a:gsLst>
              <a:lin ang="5400000" scaled="1"/>
            </a:gradFill>
            <a:ln>
              <a:noFill/>
            </a:ln>
            <a:effectLst>
              <a:softEdge rad="38100"/>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 Analyzing'!$D$4:$D$6</c:f>
              <c:strCache>
                <c:ptCount val="3"/>
                <c:pt idx="0">
                  <c:v>Classic</c:v>
                </c:pt>
                <c:pt idx="1">
                  <c:v>Basic</c:v>
                </c:pt>
                <c:pt idx="2">
                  <c:v>Premium</c:v>
                </c:pt>
              </c:strCache>
            </c:strRef>
          </c:cat>
          <c:val>
            <c:numRef>
              <c:f>'Pivot table Analyzing'!$E$4:$E$6</c:f>
              <c:numCache>
                <c:formatCode>General</c:formatCode>
                <c:ptCount val="3"/>
                <c:pt idx="0">
                  <c:v>82105</c:v>
                </c:pt>
                <c:pt idx="1">
                  <c:v>44823</c:v>
                </c:pt>
                <c:pt idx="2">
                  <c:v>34005</c:v>
                </c:pt>
              </c:numCache>
            </c:numRef>
          </c:val>
          <c:extLst>
            <c:ext xmlns:c16="http://schemas.microsoft.com/office/drawing/2014/chart" uri="{C3380CC4-5D6E-409C-BE32-E72D297353CC}">
              <c16:uniqueId val="{00000000-67F1-4496-B4DD-BD7161D9AA7C}"/>
            </c:ext>
          </c:extLst>
        </c:ser>
        <c:ser>
          <c:idx val="1"/>
          <c:order val="1"/>
          <c:tx>
            <c:strRef>
              <c:f>'Pivot table Analyzing'!$F$2:$F$3</c:f>
              <c:strCache>
                <c:ptCount val="1"/>
                <c:pt idx="0">
                  <c:v>2016</c:v>
                </c:pt>
              </c:strCache>
            </c:strRef>
          </c:tx>
          <c:spPr>
            <a:gradFill>
              <a:gsLst>
                <a:gs pos="97000">
                  <a:srgbClr val="FFC000"/>
                </a:gs>
                <a:gs pos="52000">
                  <a:schemeClr val="accent4">
                    <a:lumMod val="40000"/>
                    <a:lumOff val="60000"/>
                  </a:schemeClr>
                </a:gs>
              </a:gsLst>
              <a:lin ang="5400000" scaled="1"/>
            </a:gradFill>
            <a:ln>
              <a:noFill/>
            </a:ln>
            <a:effectLst>
              <a:softEdge rad="38100"/>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 Analyzing'!$D$4:$D$6</c:f>
              <c:strCache>
                <c:ptCount val="3"/>
                <c:pt idx="0">
                  <c:v>Classic</c:v>
                </c:pt>
                <c:pt idx="1">
                  <c:v>Basic</c:v>
                </c:pt>
                <c:pt idx="2">
                  <c:v>Premium</c:v>
                </c:pt>
              </c:strCache>
            </c:strRef>
          </c:cat>
          <c:val>
            <c:numRef>
              <c:f>'Pivot table Analyzing'!$F$4:$F$6</c:f>
              <c:numCache>
                <c:formatCode>General</c:formatCode>
                <c:ptCount val="3"/>
                <c:pt idx="0">
                  <c:v>64684</c:v>
                </c:pt>
                <c:pt idx="1">
                  <c:v>47046</c:v>
                </c:pt>
                <c:pt idx="2">
                  <c:v>31307</c:v>
                </c:pt>
              </c:numCache>
            </c:numRef>
          </c:val>
          <c:extLst>
            <c:ext xmlns:c16="http://schemas.microsoft.com/office/drawing/2014/chart" uri="{C3380CC4-5D6E-409C-BE32-E72D297353CC}">
              <c16:uniqueId val="{00000001-67F1-4496-B4DD-BD7161D9AA7C}"/>
            </c:ext>
          </c:extLst>
        </c:ser>
        <c:ser>
          <c:idx val="2"/>
          <c:order val="2"/>
          <c:tx>
            <c:strRef>
              <c:f>'Pivot table Analyzing'!$G$2:$G$3</c:f>
              <c:strCache>
                <c:ptCount val="1"/>
                <c:pt idx="0">
                  <c:v>2017</c:v>
                </c:pt>
              </c:strCache>
            </c:strRef>
          </c:tx>
          <c:spPr>
            <a:gradFill>
              <a:gsLst>
                <a:gs pos="100000">
                  <a:srgbClr val="FFC000"/>
                </a:gs>
                <a:gs pos="9000">
                  <a:schemeClr val="accent4">
                    <a:lumMod val="60000"/>
                    <a:lumOff val="40000"/>
                  </a:schemeClr>
                </a:gs>
              </a:gsLst>
              <a:lin ang="5400000" scaled="1"/>
            </a:gradFill>
            <a:ln>
              <a:noFill/>
            </a:ln>
            <a:effectLst>
              <a:softEdge rad="25400"/>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 Analyzing'!$D$4:$D$6</c:f>
              <c:strCache>
                <c:ptCount val="3"/>
                <c:pt idx="0">
                  <c:v>Classic</c:v>
                </c:pt>
                <c:pt idx="1">
                  <c:v>Basic</c:v>
                </c:pt>
                <c:pt idx="2">
                  <c:v>Premium</c:v>
                </c:pt>
              </c:strCache>
            </c:strRef>
          </c:cat>
          <c:val>
            <c:numRef>
              <c:f>'Pivot table Analyzing'!$G$4:$G$6</c:f>
              <c:numCache>
                <c:formatCode>General</c:formatCode>
                <c:ptCount val="3"/>
                <c:pt idx="0">
                  <c:v>79207</c:v>
                </c:pt>
                <c:pt idx="1">
                  <c:v>76211</c:v>
                </c:pt>
                <c:pt idx="2">
                  <c:v>46790</c:v>
                </c:pt>
              </c:numCache>
            </c:numRef>
          </c:val>
          <c:extLst>
            <c:ext xmlns:c16="http://schemas.microsoft.com/office/drawing/2014/chart" uri="{C3380CC4-5D6E-409C-BE32-E72D297353CC}">
              <c16:uniqueId val="{00000002-67F1-4496-B4DD-BD7161D9AA7C}"/>
            </c:ext>
          </c:extLst>
        </c:ser>
        <c:ser>
          <c:idx val="3"/>
          <c:order val="3"/>
          <c:tx>
            <c:strRef>
              <c:f>'Pivot table Analyzing'!$H$2:$H$3</c:f>
              <c:strCache>
                <c:ptCount val="1"/>
                <c:pt idx="0">
                  <c:v>2018</c:v>
                </c:pt>
              </c:strCache>
            </c:strRef>
          </c:tx>
          <c:spPr>
            <a:gradFill>
              <a:gsLst>
                <a:gs pos="7000">
                  <a:srgbClr val="FFC000"/>
                </a:gs>
                <a:gs pos="0">
                  <a:schemeClr val="accent1">
                    <a:lumMod val="45000"/>
                    <a:lumOff val="55000"/>
                  </a:schemeClr>
                </a:gs>
                <a:gs pos="100000">
                  <a:srgbClr val="FFFF00"/>
                </a:gs>
              </a:gsLst>
              <a:lin ang="5400000" scaled="1"/>
            </a:gradFill>
            <a:ln>
              <a:noFill/>
            </a:ln>
            <a:effectLst>
              <a:softEdge rad="25400"/>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 Analyzing'!$D$4:$D$6</c:f>
              <c:strCache>
                <c:ptCount val="3"/>
                <c:pt idx="0">
                  <c:v>Classic</c:v>
                </c:pt>
                <c:pt idx="1">
                  <c:v>Basic</c:v>
                </c:pt>
                <c:pt idx="2">
                  <c:v>Premium</c:v>
                </c:pt>
              </c:strCache>
            </c:strRef>
          </c:cat>
          <c:val>
            <c:numRef>
              <c:f>'Pivot table Analyzing'!$H$4:$H$6</c:f>
              <c:numCache>
                <c:formatCode>General</c:formatCode>
                <c:ptCount val="3"/>
                <c:pt idx="0">
                  <c:v>53630</c:v>
                </c:pt>
                <c:pt idx="1">
                  <c:v>64529</c:v>
                </c:pt>
                <c:pt idx="2">
                  <c:v>52029</c:v>
                </c:pt>
              </c:numCache>
            </c:numRef>
          </c:val>
          <c:extLst>
            <c:ext xmlns:c16="http://schemas.microsoft.com/office/drawing/2014/chart" uri="{C3380CC4-5D6E-409C-BE32-E72D297353CC}">
              <c16:uniqueId val="{00000003-67F1-4496-B4DD-BD7161D9AA7C}"/>
            </c:ext>
          </c:extLst>
        </c:ser>
        <c:dLbls>
          <c:showLegendKey val="0"/>
          <c:showVal val="0"/>
          <c:showCatName val="0"/>
          <c:showSerName val="0"/>
          <c:showPercent val="0"/>
          <c:showBubbleSize val="0"/>
        </c:dLbls>
        <c:gapWidth val="182"/>
        <c:axId val="698729727"/>
        <c:axId val="698732639"/>
      </c:barChart>
      <c:catAx>
        <c:axId val="6987297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698732639"/>
        <c:crosses val="autoZero"/>
        <c:auto val="1"/>
        <c:lblAlgn val="ctr"/>
        <c:lblOffset val="100"/>
        <c:noMultiLvlLbl val="0"/>
      </c:catAx>
      <c:valAx>
        <c:axId val="6987326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9872972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sale Dashboard by Danyal Javed.xlsm]Pivot table Analyzing!Pivot_Products</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aseline="0">
                <a:solidFill>
                  <a:schemeClr val="bg1"/>
                </a:solidFill>
              </a:rPr>
              <a:t>Product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gradFill>
            <a:gsLst>
              <a:gs pos="0">
                <a:srgbClr val="FFC000"/>
              </a:gs>
              <a:gs pos="21000">
                <a:srgbClr val="FFFF00"/>
              </a:gs>
              <a:gs pos="100000">
                <a:srgbClr val="FFC000"/>
              </a:gs>
              <a:gs pos="54000">
                <a:srgbClr val="FFC000"/>
              </a:gs>
            </a:gsLst>
            <a:lin ang="5400000" scaled="1"/>
          </a:gradFill>
          <a:ln>
            <a:noFill/>
          </a:ln>
          <a:effectLst/>
        </c:spPr>
        <c:marker>
          <c:symbol val="none"/>
        </c:marker>
      </c:pivotFmt>
      <c:pivotFmt>
        <c:idx val="1"/>
        <c:spPr>
          <a:gradFill>
            <a:gsLst>
              <a:gs pos="0">
                <a:srgbClr val="FFC000"/>
              </a:gs>
              <a:gs pos="21000">
                <a:srgbClr val="FFFF00"/>
              </a:gs>
              <a:gs pos="100000">
                <a:srgbClr val="FFC000"/>
              </a:gs>
              <a:gs pos="54000">
                <a:srgbClr val="FFC000"/>
              </a:gs>
            </a:gsLst>
            <a:lin ang="5400000" scaled="1"/>
          </a:gradFill>
          <a:ln>
            <a:noFill/>
          </a:ln>
          <a:effectLst/>
        </c:spPr>
      </c:pivotFmt>
      <c:pivotFmt>
        <c:idx val="2"/>
        <c:spPr>
          <a:gradFill>
            <a:gsLst>
              <a:gs pos="0">
                <a:srgbClr val="FFC000"/>
              </a:gs>
              <a:gs pos="21000">
                <a:srgbClr val="FFFF00"/>
              </a:gs>
              <a:gs pos="100000">
                <a:srgbClr val="FFC000"/>
              </a:gs>
              <a:gs pos="54000">
                <a:srgbClr val="FFC000"/>
              </a:gs>
            </a:gsLst>
            <a:lin ang="5400000" scaled="1"/>
          </a:gradFill>
          <a:ln>
            <a:noFill/>
          </a:ln>
          <a:effectLst/>
        </c:spPr>
        <c:marker>
          <c:symbol val="none"/>
        </c:marker>
      </c:pivotFmt>
      <c:pivotFmt>
        <c:idx val="3"/>
        <c:spPr>
          <a:gradFill>
            <a:gsLst>
              <a:gs pos="0">
                <a:srgbClr val="FFC000"/>
              </a:gs>
              <a:gs pos="21000">
                <a:srgbClr val="FFFF00"/>
              </a:gs>
              <a:gs pos="100000">
                <a:srgbClr val="FFC000"/>
              </a:gs>
              <a:gs pos="54000">
                <a:srgbClr val="FFC000"/>
              </a:gs>
            </a:gsLst>
            <a:lin ang="5400000" scaled="1"/>
          </a:gradFill>
          <a:ln>
            <a:noFill/>
          </a:ln>
          <a:effectLst/>
        </c:spPr>
        <c:marker>
          <c:symbol val="none"/>
        </c:marker>
      </c:pivotFmt>
    </c:pivotFmts>
    <c:plotArea>
      <c:layout/>
      <c:areaChart>
        <c:grouping val="standard"/>
        <c:varyColors val="0"/>
        <c:ser>
          <c:idx val="0"/>
          <c:order val="0"/>
          <c:tx>
            <c:strRef>
              <c:f>'Pivot table Analyzing'!$K$9</c:f>
              <c:strCache>
                <c:ptCount val="1"/>
                <c:pt idx="0">
                  <c:v>Total</c:v>
                </c:pt>
              </c:strCache>
            </c:strRef>
          </c:tx>
          <c:spPr>
            <a:gradFill>
              <a:gsLst>
                <a:gs pos="0">
                  <a:srgbClr val="FFC000"/>
                </a:gs>
                <a:gs pos="21000">
                  <a:srgbClr val="FFFF00"/>
                </a:gs>
                <a:gs pos="100000">
                  <a:srgbClr val="FFC000"/>
                </a:gs>
                <a:gs pos="54000">
                  <a:srgbClr val="FFC000"/>
                </a:gs>
              </a:gsLst>
              <a:lin ang="5400000" scaled="1"/>
            </a:gradFill>
            <a:ln>
              <a:noFill/>
            </a:ln>
            <a:effectLst/>
          </c:spPr>
          <c:cat>
            <c:strRef>
              <c:f>'Pivot table Analyzing'!$J$10:$J$12</c:f>
              <c:strCache>
                <c:ptCount val="3"/>
                <c:pt idx="0">
                  <c:v>Basic</c:v>
                </c:pt>
                <c:pt idx="1">
                  <c:v>Classic</c:v>
                </c:pt>
                <c:pt idx="2">
                  <c:v>Premium</c:v>
                </c:pt>
              </c:strCache>
            </c:strRef>
          </c:cat>
          <c:val>
            <c:numRef>
              <c:f>'Pivot table Analyzing'!$K$10:$K$12</c:f>
              <c:numCache>
                <c:formatCode>General</c:formatCode>
                <c:ptCount val="3"/>
                <c:pt idx="0">
                  <c:v>232609</c:v>
                </c:pt>
                <c:pt idx="1">
                  <c:v>279626</c:v>
                </c:pt>
                <c:pt idx="2">
                  <c:v>164131</c:v>
                </c:pt>
              </c:numCache>
            </c:numRef>
          </c:val>
          <c:extLst>
            <c:ext xmlns:c16="http://schemas.microsoft.com/office/drawing/2014/chart" uri="{C3380CC4-5D6E-409C-BE32-E72D297353CC}">
              <c16:uniqueId val="{00000000-DCA9-4EC9-86FB-0DB3C943AC67}"/>
            </c:ext>
          </c:extLst>
        </c:ser>
        <c:dLbls>
          <c:showLegendKey val="0"/>
          <c:showVal val="0"/>
          <c:showCatName val="0"/>
          <c:showSerName val="0"/>
          <c:showPercent val="0"/>
          <c:showBubbleSize val="0"/>
        </c:dLbls>
        <c:axId val="698473759"/>
        <c:axId val="698471679"/>
      </c:areaChart>
      <c:catAx>
        <c:axId val="6984737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698471679"/>
        <c:crosses val="autoZero"/>
        <c:auto val="1"/>
        <c:lblAlgn val="ctr"/>
        <c:lblOffset val="100"/>
        <c:noMultiLvlLbl val="0"/>
      </c:catAx>
      <c:valAx>
        <c:axId val="6984716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98473759"/>
        <c:crosses val="autoZero"/>
        <c:crossBetween val="midCat"/>
      </c:valAx>
      <c:spPr>
        <a:noFill/>
        <a:ln w="25400">
          <a:gradFill>
            <a:gsLst>
              <a:gs pos="78000">
                <a:schemeClr val="tx1"/>
              </a:gs>
              <a:gs pos="0">
                <a:schemeClr val="tx1"/>
              </a:gs>
              <a:gs pos="70000">
                <a:schemeClr val="tx1"/>
              </a:gs>
              <a:gs pos="50000">
                <a:schemeClr val="tx1"/>
              </a:gs>
              <a:gs pos="77000">
                <a:schemeClr val="tx1"/>
              </a:gs>
            </a:gsLst>
            <a:lin ang="5400000" scaled="1"/>
          </a:grad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sale Dashboard by Danyal Javed.xlsm]Pivot table Analyzing!Pivot_Channel</c:name>
    <c:fmtId val="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0" i="0" baseline="0">
                <a:solidFill>
                  <a:schemeClr val="bg1"/>
                </a:solidFill>
              </a:rPr>
              <a:t>Channel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127000" cap="rnd" cmpd="sng">
            <a:gradFill>
              <a:gsLst>
                <a:gs pos="35000">
                  <a:srgbClr val="FFC000"/>
                </a:gs>
                <a:gs pos="97000">
                  <a:srgbClr val="FFC000"/>
                </a:gs>
                <a:gs pos="67000">
                  <a:srgbClr val="FFFF00"/>
                </a:gs>
                <a:gs pos="58000">
                  <a:srgbClr val="FFFF00"/>
                </a:gs>
              </a:gsLst>
              <a:lin ang="5400000" scaled="1"/>
            </a:gradFill>
            <a:round/>
          </a:ln>
          <a:effectLst/>
        </c:spPr>
        <c:marker>
          <c:symbol val="none"/>
        </c:marker>
      </c:pivotFmt>
      <c:pivotFmt>
        <c:idx val="2"/>
        <c:spPr>
          <a:solidFill>
            <a:schemeClr val="accent1"/>
          </a:solidFill>
          <a:ln w="127000" cap="rnd" cmpd="sng">
            <a:gradFill>
              <a:gsLst>
                <a:gs pos="35000">
                  <a:srgbClr val="FFC000"/>
                </a:gs>
                <a:gs pos="97000">
                  <a:srgbClr val="FFC000"/>
                </a:gs>
                <a:gs pos="67000">
                  <a:srgbClr val="FFFF00"/>
                </a:gs>
                <a:gs pos="58000">
                  <a:srgbClr val="FFFF00"/>
                </a:gs>
              </a:gsLst>
              <a:lin ang="5400000" scaled="1"/>
            </a:gradFill>
            <a:round/>
          </a:ln>
          <a:effectLst/>
        </c:spPr>
        <c:marker>
          <c:symbol val="none"/>
        </c:marker>
      </c:pivotFmt>
      <c:pivotFmt>
        <c:idx val="3"/>
        <c:spPr>
          <a:ln w="127000" cap="rnd" cmpd="sng">
            <a:gradFill>
              <a:gsLst>
                <a:gs pos="35000">
                  <a:srgbClr val="FFC000"/>
                </a:gs>
                <a:gs pos="97000">
                  <a:srgbClr val="FFC000"/>
                </a:gs>
                <a:gs pos="67000">
                  <a:srgbClr val="FFFF00"/>
                </a:gs>
                <a:gs pos="58000">
                  <a:srgbClr val="FFFF00"/>
                </a:gs>
              </a:gsLst>
              <a:lin ang="5400000" scaled="1"/>
            </a:gradFill>
            <a:round/>
          </a:ln>
          <a:effectLst/>
        </c:spPr>
        <c:marker>
          <c:symbol val="none"/>
        </c:marker>
      </c:pivotFmt>
    </c:pivotFmts>
    <c:plotArea>
      <c:layout/>
      <c:radarChart>
        <c:radarStyle val="marker"/>
        <c:varyColors val="0"/>
        <c:ser>
          <c:idx val="0"/>
          <c:order val="0"/>
          <c:tx>
            <c:strRef>
              <c:f>'Pivot table Analyzing'!$K$2</c:f>
              <c:strCache>
                <c:ptCount val="1"/>
                <c:pt idx="0">
                  <c:v>Total</c:v>
                </c:pt>
              </c:strCache>
            </c:strRef>
          </c:tx>
          <c:spPr>
            <a:ln w="127000" cap="rnd" cmpd="sng">
              <a:gradFill>
                <a:gsLst>
                  <a:gs pos="35000">
                    <a:srgbClr val="FFC000"/>
                  </a:gs>
                  <a:gs pos="97000">
                    <a:srgbClr val="FFC000"/>
                  </a:gs>
                  <a:gs pos="67000">
                    <a:srgbClr val="FFFF00"/>
                  </a:gs>
                  <a:gs pos="58000">
                    <a:srgbClr val="FFFF00"/>
                  </a:gs>
                </a:gsLst>
                <a:lin ang="5400000" scaled="1"/>
              </a:gradFill>
              <a:round/>
            </a:ln>
            <a:effectLst/>
          </c:spPr>
          <c:marker>
            <c:symbol val="none"/>
          </c:marker>
          <c:cat>
            <c:strRef>
              <c:f>'Pivot table Analyzing'!$J$3:$J$5</c:f>
              <c:strCache>
                <c:ptCount val="3"/>
                <c:pt idx="0">
                  <c:v>Direct</c:v>
                </c:pt>
                <c:pt idx="1">
                  <c:v>Online</c:v>
                </c:pt>
                <c:pt idx="2">
                  <c:v>Retail</c:v>
                </c:pt>
              </c:strCache>
            </c:strRef>
          </c:cat>
          <c:val>
            <c:numRef>
              <c:f>'Pivot table Analyzing'!$K$3:$K$5</c:f>
              <c:numCache>
                <c:formatCode>General</c:formatCode>
                <c:ptCount val="3"/>
                <c:pt idx="0">
                  <c:v>164131</c:v>
                </c:pt>
                <c:pt idx="1">
                  <c:v>232609</c:v>
                </c:pt>
                <c:pt idx="2">
                  <c:v>279626</c:v>
                </c:pt>
              </c:numCache>
            </c:numRef>
          </c:val>
          <c:extLst>
            <c:ext xmlns:c16="http://schemas.microsoft.com/office/drawing/2014/chart" uri="{C3380CC4-5D6E-409C-BE32-E72D297353CC}">
              <c16:uniqueId val="{00000000-B5ED-4129-B489-21F6E3B3E2D9}"/>
            </c:ext>
          </c:extLst>
        </c:ser>
        <c:dLbls>
          <c:showLegendKey val="0"/>
          <c:showVal val="0"/>
          <c:showCatName val="0"/>
          <c:showSerName val="0"/>
          <c:showPercent val="0"/>
          <c:showBubbleSize val="0"/>
        </c:dLbls>
        <c:axId val="698469599"/>
        <c:axId val="698475423"/>
      </c:radarChart>
      <c:catAx>
        <c:axId val="698469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698475423"/>
        <c:crosses val="autoZero"/>
        <c:auto val="1"/>
        <c:lblAlgn val="ctr"/>
        <c:lblOffset val="100"/>
        <c:noMultiLvlLbl val="0"/>
      </c:catAx>
      <c:valAx>
        <c:axId val="698475423"/>
        <c:scaling>
          <c:orientation val="minMax"/>
        </c:scaling>
        <c:delete val="0"/>
        <c:axPos val="l"/>
        <c:majorGridlines>
          <c:spPr>
            <a:ln w="9525" cap="flat" cmpd="sng" algn="ctr">
              <a:solidFill>
                <a:schemeClr val="bg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98469599"/>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sale Dashboard by Danyal Javed.xlsm]Pivot table Analyzing!Pivot_SalesPerson</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aseline="0">
                <a:solidFill>
                  <a:schemeClr val="bg1"/>
                </a:solidFill>
              </a:rPr>
              <a:t>Sale Person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gradFill>
            <a:gsLst>
              <a:gs pos="0">
                <a:schemeClr val="accent4"/>
              </a:gs>
              <a:gs pos="70000">
                <a:srgbClr val="FFFF00"/>
              </a:gs>
              <a:gs pos="40000">
                <a:srgbClr val="FFFF00"/>
              </a:gs>
              <a:gs pos="100000">
                <a:srgbClr val="FFC000"/>
              </a:gs>
            </a:gsLst>
            <a:lin ang="5400000" scaled="1"/>
          </a:gradFill>
          <a:ln>
            <a:noFill/>
          </a:ln>
          <a:effectLst/>
        </c:spPr>
      </c:pivotFmt>
      <c:pivotFmt>
        <c:idx val="2"/>
        <c:spPr>
          <a:gradFill>
            <a:gsLst>
              <a:gs pos="0">
                <a:schemeClr val="accent4"/>
              </a:gs>
              <a:gs pos="70000">
                <a:srgbClr val="FFC000"/>
              </a:gs>
              <a:gs pos="40000">
                <a:srgbClr val="FFC000"/>
              </a:gs>
              <a:gs pos="89000">
                <a:srgbClr val="FFC000"/>
              </a:gs>
            </a:gsLst>
            <a:lin ang="5400000" scaled="1"/>
          </a:gradFill>
          <a:ln>
            <a:noFill/>
          </a:ln>
          <a:effectLst/>
        </c:spPr>
      </c:pivotFmt>
      <c:pivotFmt>
        <c:idx val="3"/>
        <c:spPr>
          <a:gradFill>
            <a:gsLst>
              <a:gs pos="50562">
                <a:srgbClr val="FF0000"/>
              </a:gs>
              <a:gs pos="100000">
                <a:srgbClr val="FFE890"/>
              </a:gs>
              <a:gs pos="100000">
                <a:srgbClr val="FFEA86"/>
              </a:gs>
              <a:gs pos="100000">
                <a:srgbClr val="FFED73"/>
              </a:gs>
              <a:gs pos="28000">
                <a:srgbClr val="FF0000"/>
              </a:gs>
              <a:gs pos="37000">
                <a:srgbClr val="FF0000"/>
              </a:gs>
              <a:gs pos="98000">
                <a:srgbClr val="FF0000"/>
              </a:gs>
              <a:gs pos="70000">
                <a:srgbClr val="FF0000"/>
              </a:gs>
              <a:gs pos="100000">
                <a:srgbClr val="FFC000"/>
              </a:gs>
            </a:gsLst>
            <a:lin ang="5400000" scaled="1"/>
          </a:gradFill>
          <a:ln>
            <a:noFill/>
          </a:ln>
          <a:effectLst/>
        </c:spPr>
      </c:pivotFmt>
      <c:pivotFmt>
        <c:idx val="4"/>
        <c:spPr>
          <a:gradFill>
            <a:gsLst>
              <a:gs pos="61000">
                <a:srgbClr val="00B0F0"/>
              </a:gs>
              <a:gs pos="100000">
                <a:srgbClr val="00B0F0"/>
              </a:gs>
            </a:gsLst>
            <a:lin ang="5400000" scaled="1"/>
          </a:gradFill>
          <a:ln>
            <a:noFill/>
          </a:ln>
          <a:effectLst/>
        </c:spPr>
      </c:pivotFmt>
      <c:pivotFmt>
        <c:idx val="5"/>
        <c:spPr>
          <a:gradFill>
            <a:gsLst>
              <a:gs pos="100000">
                <a:schemeClr val="accent6">
                  <a:lumMod val="75000"/>
                </a:schemeClr>
              </a:gs>
              <a:gs pos="100000">
                <a:srgbClr val="00B0F0"/>
              </a:gs>
            </a:gsLst>
            <a:lin ang="5400000" scaled="1"/>
          </a:gradFill>
          <a:ln>
            <a:noFill/>
          </a:ln>
          <a:effectLst/>
        </c:spPr>
      </c:pivotFmt>
      <c:pivotFmt>
        <c:idx val="6"/>
        <c:spPr>
          <a:gradFill>
            <a:gsLst>
              <a:gs pos="100000">
                <a:schemeClr val="accent1">
                  <a:lumMod val="75000"/>
                </a:schemeClr>
              </a:gs>
              <a:gs pos="100000">
                <a:srgbClr val="00B0F0"/>
              </a:gs>
            </a:gsLst>
            <a:lin ang="5400000" scaled="1"/>
          </a:gradFill>
          <a:ln>
            <a:noFill/>
          </a:ln>
          <a:effectLst/>
        </c:spPr>
      </c:pivotFmt>
      <c:pivotFmt>
        <c:idx val="7"/>
        <c:spPr>
          <a:solidFill>
            <a:schemeClr val="accent1"/>
          </a:solidFill>
          <a:ln>
            <a:noFill/>
          </a:ln>
          <a:effectLst/>
        </c:spPr>
        <c:marker>
          <c:symbol val="none"/>
        </c:marker>
      </c:pivotFmt>
      <c:pivotFmt>
        <c:idx val="8"/>
        <c:spPr>
          <a:gradFill>
            <a:gsLst>
              <a:gs pos="50562">
                <a:srgbClr val="FF0000"/>
              </a:gs>
              <a:gs pos="100000">
                <a:srgbClr val="FFE890"/>
              </a:gs>
              <a:gs pos="100000">
                <a:srgbClr val="FFEA86"/>
              </a:gs>
              <a:gs pos="100000">
                <a:srgbClr val="FFED73"/>
              </a:gs>
              <a:gs pos="28000">
                <a:srgbClr val="FF0000"/>
              </a:gs>
              <a:gs pos="37000">
                <a:srgbClr val="FF0000"/>
              </a:gs>
              <a:gs pos="98000">
                <a:srgbClr val="FF0000"/>
              </a:gs>
              <a:gs pos="70000">
                <a:srgbClr val="FF0000"/>
              </a:gs>
              <a:gs pos="100000">
                <a:srgbClr val="FFC000"/>
              </a:gs>
            </a:gsLst>
            <a:lin ang="5400000" scaled="1"/>
          </a:gradFill>
          <a:ln>
            <a:noFill/>
          </a:ln>
          <a:effectLst/>
        </c:spPr>
      </c:pivotFmt>
      <c:pivotFmt>
        <c:idx val="9"/>
        <c:spPr>
          <a:gradFill>
            <a:gsLst>
              <a:gs pos="0">
                <a:schemeClr val="accent4"/>
              </a:gs>
              <a:gs pos="70000">
                <a:srgbClr val="FFC000"/>
              </a:gs>
              <a:gs pos="40000">
                <a:srgbClr val="FFC000"/>
              </a:gs>
              <a:gs pos="89000">
                <a:srgbClr val="FFC000"/>
              </a:gs>
            </a:gsLst>
            <a:lin ang="5400000" scaled="1"/>
          </a:gradFill>
          <a:ln>
            <a:noFill/>
          </a:ln>
          <a:effectLst/>
        </c:spPr>
      </c:pivotFmt>
      <c:pivotFmt>
        <c:idx val="10"/>
        <c:spPr>
          <a:gradFill>
            <a:gsLst>
              <a:gs pos="0">
                <a:schemeClr val="accent4"/>
              </a:gs>
              <a:gs pos="70000">
                <a:srgbClr val="FFFF00"/>
              </a:gs>
              <a:gs pos="40000">
                <a:srgbClr val="FFFF00"/>
              </a:gs>
              <a:gs pos="100000">
                <a:srgbClr val="FFC000"/>
              </a:gs>
            </a:gsLst>
            <a:lin ang="5400000" scaled="1"/>
          </a:gradFill>
          <a:ln>
            <a:noFill/>
          </a:ln>
          <a:effectLst/>
        </c:spPr>
      </c:pivotFmt>
      <c:pivotFmt>
        <c:idx val="11"/>
        <c:spPr>
          <a:gradFill>
            <a:gsLst>
              <a:gs pos="61000">
                <a:srgbClr val="00B0F0"/>
              </a:gs>
              <a:gs pos="100000">
                <a:srgbClr val="00B0F0"/>
              </a:gs>
            </a:gsLst>
            <a:lin ang="5400000" scaled="1"/>
          </a:gradFill>
          <a:ln>
            <a:noFill/>
          </a:ln>
          <a:effectLst/>
        </c:spPr>
      </c:pivotFmt>
      <c:pivotFmt>
        <c:idx val="12"/>
        <c:spPr>
          <a:gradFill>
            <a:gsLst>
              <a:gs pos="100000">
                <a:schemeClr val="accent6">
                  <a:lumMod val="75000"/>
                </a:schemeClr>
              </a:gs>
              <a:gs pos="100000">
                <a:srgbClr val="00B0F0"/>
              </a:gs>
            </a:gsLst>
            <a:lin ang="5400000" scaled="1"/>
          </a:gradFill>
          <a:ln>
            <a:noFill/>
          </a:ln>
          <a:effectLst/>
        </c:spPr>
      </c:pivotFmt>
      <c:pivotFmt>
        <c:idx val="13"/>
        <c:spPr>
          <a:gradFill>
            <a:gsLst>
              <a:gs pos="100000">
                <a:schemeClr val="accent1">
                  <a:lumMod val="75000"/>
                </a:schemeClr>
              </a:gs>
              <a:gs pos="100000">
                <a:srgbClr val="00B0F0"/>
              </a:gs>
            </a:gsLst>
            <a:lin ang="5400000" scaled="1"/>
          </a:gradFill>
          <a:ln>
            <a:noFill/>
          </a:ln>
          <a:effectLst/>
        </c:spPr>
      </c:pivotFmt>
      <c:pivotFmt>
        <c:idx val="14"/>
        <c:spPr>
          <a:solidFill>
            <a:schemeClr val="accent1"/>
          </a:solidFill>
          <a:ln>
            <a:noFill/>
          </a:ln>
          <a:effectLst/>
        </c:spPr>
        <c:marker>
          <c:symbol val="none"/>
        </c:marker>
      </c:pivotFmt>
      <c:pivotFmt>
        <c:idx val="15"/>
        <c:spPr>
          <a:gradFill>
            <a:gsLst>
              <a:gs pos="50562">
                <a:srgbClr val="FF0000"/>
              </a:gs>
              <a:gs pos="100000">
                <a:srgbClr val="FFE890"/>
              </a:gs>
              <a:gs pos="100000">
                <a:srgbClr val="FFEA86"/>
              </a:gs>
              <a:gs pos="100000">
                <a:srgbClr val="FFED73"/>
              </a:gs>
              <a:gs pos="28000">
                <a:srgbClr val="FF0000"/>
              </a:gs>
              <a:gs pos="37000">
                <a:srgbClr val="FF0000"/>
              </a:gs>
              <a:gs pos="98000">
                <a:srgbClr val="FF0000"/>
              </a:gs>
              <a:gs pos="70000">
                <a:srgbClr val="FF0000"/>
              </a:gs>
              <a:gs pos="100000">
                <a:srgbClr val="FFC000"/>
              </a:gs>
            </a:gsLst>
            <a:lin ang="5400000" scaled="1"/>
          </a:gradFill>
          <a:ln>
            <a:noFill/>
          </a:ln>
          <a:effectLst/>
        </c:spPr>
      </c:pivotFmt>
      <c:pivotFmt>
        <c:idx val="16"/>
        <c:spPr>
          <a:gradFill>
            <a:gsLst>
              <a:gs pos="0">
                <a:schemeClr val="accent4"/>
              </a:gs>
              <a:gs pos="70000">
                <a:srgbClr val="FFC000"/>
              </a:gs>
              <a:gs pos="40000">
                <a:srgbClr val="FFC000"/>
              </a:gs>
              <a:gs pos="89000">
                <a:srgbClr val="FFC000"/>
              </a:gs>
            </a:gsLst>
            <a:lin ang="5400000" scaled="1"/>
          </a:gradFill>
          <a:ln>
            <a:noFill/>
          </a:ln>
          <a:effectLst/>
        </c:spPr>
      </c:pivotFmt>
      <c:pivotFmt>
        <c:idx val="17"/>
        <c:spPr>
          <a:gradFill>
            <a:gsLst>
              <a:gs pos="0">
                <a:schemeClr val="accent4"/>
              </a:gs>
              <a:gs pos="70000">
                <a:srgbClr val="FFFF00"/>
              </a:gs>
              <a:gs pos="40000">
                <a:srgbClr val="FFFF00"/>
              </a:gs>
              <a:gs pos="100000">
                <a:srgbClr val="FFC000"/>
              </a:gs>
            </a:gsLst>
            <a:lin ang="5400000" scaled="1"/>
          </a:gradFill>
          <a:ln>
            <a:noFill/>
          </a:ln>
          <a:effectLst/>
        </c:spPr>
      </c:pivotFmt>
      <c:pivotFmt>
        <c:idx val="18"/>
        <c:spPr>
          <a:gradFill>
            <a:gsLst>
              <a:gs pos="61000">
                <a:srgbClr val="00B0F0"/>
              </a:gs>
              <a:gs pos="100000">
                <a:srgbClr val="00B0F0"/>
              </a:gs>
            </a:gsLst>
            <a:lin ang="5400000" scaled="1"/>
          </a:gradFill>
          <a:ln>
            <a:noFill/>
          </a:ln>
          <a:effectLst/>
        </c:spPr>
      </c:pivotFmt>
      <c:pivotFmt>
        <c:idx val="19"/>
        <c:spPr>
          <a:gradFill>
            <a:gsLst>
              <a:gs pos="100000">
                <a:schemeClr val="accent6">
                  <a:lumMod val="75000"/>
                </a:schemeClr>
              </a:gs>
              <a:gs pos="100000">
                <a:srgbClr val="00B0F0"/>
              </a:gs>
            </a:gsLst>
            <a:lin ang="5400000" scaled="1"/>
          </a:gradFill>
          <a:ln>
            <a:noFill/>
          </a:ln>
          <a:effectLst/>
        </c:spPr>
      </c:pivotFmt>
      <c:pivotFmt>
        <c:idx val="20"/>
        <c:spPr>
          <a:gradFill>
            <a:gsLst>
              <a:gs pos="100000">
                <a:schemeClr val="accent1">
                  <a:lumMod val="75000"/>
                </a:schemeClr>
              </a:gs>
              <a:gs pos="100000">
                <a:srgbClr val="00B0F0"/>
              </a:gs>
            </a:gsLst>
            <a:lin ang="5400000" scaled="1"/>
          </a:gradFill>
          <a:ln>
            <a:noFill/>
          </a:ln>
          <a:effectLst/>
        </c:spPr>
      </c:pivotFmt>
    </c:pivotFmts>
    <c:plotArea>
      <c:layout/>
      <c:barChart>
        <c:barDir val="col"/>
        <c:grouping val="clustered"/>
        <c:varyColors val="0"/>
        <c:ser>
          <c:idx val="0"/>
          <c:order val="0"/>
          <c:tx>
            <c:strRef>
              <c:f>'Pivot table Analyzing'!$E$9</c:f>
              <c:strCache>
                <c:ptCount val="1"/>
                <c:pt idx="0">
                  <c:v>Total</c:v>
                </c:pt>
              </c:strCache>
            </c:strRef>
          </c:tx>
          <c:spPr>
            <a:solidFill>
              <a:schemeClr val="accent1"/>
            </a:solidFill>
            <a:ln>
              <a:noFill/>
            </a:ln>
            <a:effectLst/>
          </c:spPr>
          <c:invertIfNegative val="0"/>
          <c:dPt>
            <c:idx val="0"/>
            <c:invertIfNegative val="0"/>
            <c:bubble3D val="0"/>
            <c:spPr>
              <a:gradFill>
                <a:gsLst>
                  <a:gs pos="50562">
                    <a:srgbClr val="FF0000"/>
                  </a:gs>
                  <a:gs pos="100000">
                    <a:srgbClr val="FFE890"/>
                  </a:gs>
                  <a:gs pos="100000">
                    <a:srgbClr val="FFEA86"/>
                  </a:gs>
                  <a:gs pos="100000">
                    <a:srgbClr val="FFED73"/>
                  </a:gs>
                  <a:gs pos="28000">
                    <a:srgbClr val="FF0000"/>
                  </a:gs>
                  <a:gs pos="37000">
                    <a:srgbClr val="FF0000"/>
                  </a:gs>
                  <a:gs pos="98000">
                    <a:srgbClr val="FF0000"/>
                  </a:gs>
                  <a:gs pos="70000">
                    <a:srgbClr val="FF0000"/>
                  </a:gs>
                  <a:gs pos="100000">
                    <a:srgbClr val="FFC000"/>
                  </a:gs>
                </a:gsLst>
                <a:lin ang="5400000" scaled="1"/>
              </a:gradFill>
              <a:ln>
                <a:noFill/>
              </a:ln>
              <a:effectLst/>
            </c:spPr>
            <c:extLst>
              <c:ext xmlns:c16="http://schemas.microsoft.com/office/drawing/2014/chart" uri="{C3380CC4-5D6E-409C-BE32-E72D297353CC}">
                <c16:uniqueId val="{00000001-46BA-4C5F-B0A9-79CEB6CCE0C9}"/>
              </c:ext>
            </c:extLst>
          </c:dPt>
          <c:dPt>
            <c:idx val="1"/>
            <c:invertIfNegative val="0"/>
            <c:bubble3D val="0"/>
            <c:spPr>
              <a:gradFill>
                <a:gsLst>
                  <a:gs pos="0">
                    <a:schemeClr val="accent4"/>
                  </a:gs>
                  <a:gs pos="70000">
                    <a:srgbClr val="FFC000"/>
                  </a:gs>
                  <a:gs pos="40000">
                    <a:srgbClr val="FFC000"/>
                  </a:gs>
                  <a:gs pos="89000">
                    <a:srgbClr val="FFC000"/>
                  </a:gs>
                </a:gsLst>
                <a:lin ang="5400000" scaled="1"/>
              </a:gradFill>
              <a:ln>
                <a:noFill/>
              </a:ln>
              <a:effectLst/>
            </c:spPr>
            <c:extLst>
              <c:ext xmlns:c16="http://schemas.microsoft.com/office/drawing/2014/chart" uri="{C3380CC4-5D6E-409C-BE32-E72D297353CC}">
                <c16:uniqueId val="{00000003-46BA-4C5F-B0A9-79CEB6CCE0C9}"/>
              </c:ext>
            </c:extLst>
          </c:dPt>
          <c:dPt>
            <c:idx val="2"/>
            <c:invertIfNegative val="0"/>
            <c:bubble3D val="0"/>
            <c:spPr>
              <a:gradFill>
                <a:gsLst>
                  <a:gs pos="0">
                    <a:schemeClr val="accent4"/>
                  </a:gs>
                  <a:gs pos="70000">
                    <a:srgbClr val="FFFF00"/>
                  </a:gs>
                  <a:gs pos="40000">
                    <a:srgbClr val="FFFF00"/>
                  </a:gs>
                  <a:gs pos="100000">
                    <a:srgbClr val="FFC000"/>
                  </a:gs>
                </a:gsLst>
                <a:lin ang="5400000" scaled="1"/>
              </a:gradFill>
              <a:ln>
                <a:noFill/>
              </a:ln>
              <a:effectLst/>
            </c:spPr>
            <c:extLst>
              <c:ext xmlns:c16="http://schemas.microsoft.com/office/drawing/2014/chart" uri="{C3380CC4-5D6E-409C-BE32-E72D297353CC}">
                <c16:uniqueId val="{00000005-46BA-4C5F-B0A9-79CEB6CCE0C9}"/>
              </c:ext>
            </c:extLst>
          </c:dPt>
          <c:dPt>
            <c:idx val="3"/>
            <c:invertIfNegative val="0"/>
            <c:bubble3D val="0"/>
            <c:spPr>
              <a:gradFill>
                <a:gsLst>
                  <a:gs pos="61000">
                    <a:srgbClr val="00B0F0"/>
                  </a:gs>
                  <a:gs pos="100000">
                    <a:srgbClr val="00B0F0"/>
                  </a:gs>
                </a:gsLst>
                <a:lin ang="5400000" scaled="1"/>
              </a:gradFill>
              <a:ln>
                <a:noFill/>
              </a:ln>
              <a:effectLst/>
            </c:spPr>
            <c:extLst>
              <c:ext xmlns:c16="http://schemas.microsoft.com/office/drawing/2014/chart" uri="{C3380CC4-5D6E-409C-BE32-E72D297353CC}">
                <c16:uniqueId val="{00000007-46BA-4C5F-B0A9-79CEB6CCE0C9}"/>
              </c:ext>
            </c:extLst>
          </c:dPt>
          <c:dPt>
            <c:idx val="4"/>
            <c:invertIfNegative val="0"/>
            <c:bubble3D val="0"/>
            <c:spPr>
              <a:gradFill>
                <a:gsLst>
                  <a:gs pos="100000">
                    <a:schemeClr val="accent6">
                      <a:lumMod val="75000"/>
                    </a:schemeClr>
                  </a:gs>
                  <a:gs pos="100000">
                    <a:srgbClr val="00B0F0"/>
                  </a:gs>
                </a:gsLst>
                <a:lin ang="5400000" scaled="1"/>
              </a:gradFill>
              <a:ln>
                <a:noFill/>
              </a:ln>
              <a:effectLst/>
            </c:spPr>
            <c:extLst>
              <c:ext xmlns:c16="http://schemas.microsoft.com/office/drawing/2014/chart" uri="{C3380CC4-5D6E-409C-BE32-E72D297353CC}">
                <c16:uniqueId val="{00000009-46BA-4C5F-B0A9-79CEB6CCE0C9}"/>
              </c:ext>
            </c:extLst>
          </c:dPt>
          <c:dPt>
            <c:idx val="5"/>
            <c:invertIfNegative val="0"/>
            <c:bubble3D val="0"/>
            <c:spPr>
              <a:gradFill>
                <a:gsLst>
                  <a:gs pos="100000">
                    <a:schemeClr val="accent1">
                      <a:lumMod val="75000"/>
                    </a:schemeClr>
                  </a:gs>
                  <a:gs pos="100000">
                    <a:srgbClr val="00B0F0"/>
                  </a:gs>
                </a:gsLst>
                <a:lin ang="5400000" scaled="1"/>
              </a:gradFill>
              <a:ln>
                <a:noFill/>
              </a:ln>
              <a:effectLst/>
            </c:spPr>
            <c:extLst>
              <c:ext xmlns:c16="http://schemas.microsoft.com/office/drawing/2014/chart" uri="{C3380CC4-5D6E-409C-BE32-E72D297353CC}">
                <c16:uniqueId val="{0000000B-46BA-4C5F-B0A9-79CEB6CCE0C9}"/>
              </c:ext>
            </c:extLst>
          </c:dPt>
          <c:cat>
            <c:strRef>
              <c:f>'Pivot table Analyzing'!$D$10:$D$15</c:f>
              <c:strCache>
                <c:ptCount val="6"/>
                <c:pt idx="0">
                  <c:v>John</c:v>
                </c:pt>
                <c:pt idx="1">
                  <c:v>Linda</c:v>
                </c:pt>
                <c:pt idx="2">
                  <c:v>Paul</c:v>
                </c:pt>
                <c:pt idx="3">
                  <c:v>Victor</c:v>
                </c:pt>
                <c:pt idx="4">
                  <c:v>Danyal</c:v>
                </c:pt>
                <c:pt idx="5">
                  <c:v>Hamza</c:v>
                </c:pt>
              </c:strCache>
            </c:strRef>
          </c:cat>
          <c:val>
            <c:numRef>
              <c:f>'Pivot table Analyzing'!$E$10:$E$15</c:f>
              <c:numCache>
                <c:formatCode>General</c:formatCode>
                <c:ptCount val="6"/>
                <c:pt idx="0">
                  <c:v>107686</c:v>
                </c:pt>
                <c:pt idx="1">
                  <c:v>158629</c:v>
                </c:pt>
                <c:pt idx="2">
                  <c:v>175443</c:v>
                </c:pt>
                <c:pt idx="3">
                  <c:v>42770</c:v>
                </c:pt>
                <c:pt idx="4">
                  <c:v>104504</c:v>
                </c:pt>
                <c:pt idx="5">
                  <c:v>87334</c:v>
                </c:pt>
              </c:numCache>
            </c:numRef>
          </c:val>
          <c:extLst>
            <c:ext xmlns:c16="http://schemas.microsoft.com/office/drawing/2014/chart" uri="{C3380CC4-5D6E-409C-BE32-E72D297353CC}">
              <c16:uniqueId val="{0000000C-46BA-4C5F-B0A9-79CEB6CCE0C9}"/>
            </c:ext>
          </c:extLst>
        </c:ser>
        <c:dLbls>
          <c:showLegendKey val="0"/>
          <c:showVal val="0"/>
          <c:showCatName val="0"/>
          <c:showSerName val="0"/>
          <c:showPercent val="0"/>
          <c:showBubbleSize val="0"/>
        </c:dLbls>
        <c:gapWidth val="219"/>
        <c:overlap val="-27"/>
        <c:axId val="698467935"/>
        <c:axId val="698468351"/>
      </c:barChart>
      <c:catAx>
        <c:axId val="698467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98468351"/>
        <c:crosses val="autoZero"/>
        <c:auto val="1"/>
        <c:lblAlgn val="ctr"/>
        <c:lblOffset val="100"/>
        <c:noMultiLvlLbl val="0"/>
      </c:catAx>
      <c:valAx>
        <c:axId val="69846835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9846793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sale Dashboard by Danyal Javed.xlsm]Pivot table Analyzing!Pivot_Region11</c:name>
    <c:fmtId val="2"/>
  </c:pivotSource>
  <c:chart>
    <c:title>
      <c:tx>
        <c:rich>
          <a:bodyPr rot="0" spcFirstLastPara="1" vertOverflow="ellipsis" vert="horz" wrap="square" anchor="ctr" anchorCtr="1"/>
          <a:lstStyle/>
          <a:p>
            <a:pPr>
              <a:defRPr sz="1800" b="0" i="0" u="none" strike="noStrike" kern="1200" baseline="0">
                <a:solidFill>
                  <a:schemeClr val="bg1"/>
                </a:solidFill>
                <a:latin typeface="+mn-lt"/>
                <a:ea typeface="+mn-ea"/>
                <a:cs typeface="+mn-cs"/>
              </a:defRPr>
            </a:pPr>
            <a:r>
              <a:rPr lang="en-US" b="0" i="0" baseline="0">
                <a:solidFill>
                  <a:schemeClr val="bg1"/>
                </a:solidFill>
              </a:rPr>
              <a:t>Region</a:t>
            </a:r>
          </a:p>
        </c:rich>
      </c:tx>
      <c:layout/>
      <c:overlay val="0"/>
      <c:spPr>
        <a:solidFill>
          <a:schemeClr val="tx1"/>
        </a:solidFill>
        <a:ln>
          <a:noFill/>
        </a:ln>
        <a:effectLst/>
      </c:spPr>
      <c:txPr>
        <a:bodyPr rot="0" spcFirstLastPara="1" vertOverflow="ellipsis" vert="horz" wrap="square" anchor="ctr" anchorCtr="1"/>
        <a:lstStyle/>
        <a:p>
          <a:pPr>
            <a:defRPr sz="1800" b="0" i="0" u="none" strike="noStrike" kern="1200" baseline="0">
              <a:solidFill>
                <a:schemeClr val="bg1"/>
              </a:solidFill>
              <a:latin typeface="+mn-lt"/>
              <a:ea typeface="+mn-ea"/>
              <a:cs typeface="+mn-cs"/>
            </a:defRPr>
          </a:pPr>
          <a:endParaRPr lang="en-US"/>
        </a:p>
      </c:txPr>
    </c:title>
    <c:autoTitleDeleted val="0"/>
    <c:pivotFmts>
      <c:pivotFmt>
        <c:idx val="0"/>
      </c:pivotFmt>
      <c:pivotFmt>
        <c:idx val="1"/>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gradFill>
            <a:gsLst>
              <a:gs pos="0">
                <a:schemeClr val="accent4"/>
              </a:gs>
              <a:gs pos="70000">
                <a:srgbClr val="FFFF00"/>
              </a:gs>
              <a:gs pos="40000">
                <a:srgbClr val="FFFF00"/>
              </a:gs>
              <a:gs pos="100000">
                <a:srgbClr val="FFC000"/>
              </a:gs>
            </a:gsLst>
            <a:lin ang="5400000" scaled="1"/>
          </a:gradFill>
          <a:ln>
            <a:noFill/>
          </a:ln>
          <a:effectLst>
            <a:outerShdw blurRad="254000" sx="102000" sy="102000" algn="ctr" rotWithShape="0">
              <a:prstClr val="black">
                <a:alpha val="20000"/>
              </a:prstClr>
            </a:outerShdw>
          </a:effectLst>
        </c:spPr>
      </c:pivotFmt>
      <c:pivotFmt>
        <c:idx val="3"/>
        <c:spPr>
          <a:gradFill>
            <a:gsLst>
              <a:gs pos="0">
                <a:schemeClr val="accent4"/>
              </a:gs>
              <a:gs pos="0">
                <a:srgbClr val="FFFF00"/>
              </a:gs>
              <a:gs pos="0">
                <a:srgbClr val="FFFF00"/>
              </a:gs>
              <a:gs pos="0">
                <a:srgbClr val="FFC000"/>
              </a:gs>
            </a:gsLst>
            <a:lin ang="5400000" scaled="1"/>
          </a:gradFill>
          <a:ln>
            <a:noFill/>
          </a:ln>
          <a:effectLst>
            <a:outerShdw blurRad="254000" sx="102000" sy="102000" algn="ctr" rotWithShape="0">
              <a:prstClr val="black">
                <a:alpha val="20000"/>
              </a:prstClr>
            </a:outerShdw>
          </a:effectLst>
        </c:spPr>
      </c:pivotFmt>
      <c:pivotFmt>
        <c:idx val="4"/>
        <c:spPr>
          <a:gradFill>
            <a:gsLst>
              <a:gs pos="0">
                <a:schemeClr val="accent4"/>
              </a:gs>
              <a:gs pos="0">
                <a:srgbClr val="FFFF00"/>
              </a:gs>
              <a:gs pos="0">
                <a:srgbClr val="FFFF00"/>
              </a:gs>
              <a:gs pos="0">
                <a:schemeClr val="accent2">
                  <a:lumMod val="75000"/>
                </a:schemeClr>
              </a:gs>
            </a:gsLst>
            <a:lin ang="5400000" scaled="1"/>
          </a:gradFill>
          <a:ln>
            <a:noFill/>
          </a:ln>
          <a:effectLst>
            <a:outerShdw blurRad="254000" sx="102000" sy="102000" algn="ctr" rotWithShape="0">
              <a:prstClr val="black">
                <a:alpha val="20000"/>
              </a:prstClr>
            </a:outerShdw>
          </a:effectLst>
        </c:spPr>
      </c:pivotFmt>
      <c:pivotFmt>
        <c:idx val="5"/>
        <c:spPr>
          <a:gradFill>
            <a:gsLst>
              <a:gs pos="0">
                <a:srgbClr val="00B0F0"/>
              </a:gs>
              <a:gs pos="0">
                <a:srgbClr val="FFFF00"/>
              </a:gs>
              <a:gs pos="0">
                <a:srgbClr val="FFFF00"/>
              </a:gs>
              <a:gs pos="0">
                <a:srgbClr val="00B0F0"/>
              </a:gs>
            </a:gsLst>
            <a:lin ang="5400000" scaled="1"/>
          </a:gra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a:gsLst>
              <a:gs pos="0">
                <a:schemeClr val="accent4"/>
              </a:gs>
              <a:gs pos="70000">
                <a:srgbClr val="FFFF00"/>
              </a:gs>
              <a:gs pos="40000">
                <a:srgbClr val="FFFF00"/>
              </a:gs>
              <a:gs pos="100000">
                <a:srgbClr val="FFC000"/>
              </a:gs>
            </a:gsLst>
            <a:lin ang="5400000" scaled="1"/>
          </a:gradFill>
          <a:ln>
            <a:noFill/>
          </a:ln>
          <a:effectLst>
            <a:outerShdw blurRad="254000" sx="102000" sy="102000" algn="ctr" rotWithShape="0">
              <a:prstClr val="black">
                <a:alpha val="20000"/>
              </a:prstClr>
            </a:outerShdw>
          </a:effectLst>
        </c:spPr>
      </c:pivotFmt>
      <c:pivotFmt>
        <c:idx val="8"/>
        <c:spPr>
          <a:gradFill>
            <a:gsLst>
              <a:gs pos="0">
                <a:schemeClr val="accent4"/>
              </a:gs>
              <a:gs pos="0">
                <a:srgbClr val="FFFF00"/>
              </a:gs>
              <a:gs pos="0">
                <a:srgbClr val="FFFF00"/>
              </a:gs>
              <a:gs pos="0">
                <a:schemeClr val="accent2">
                  <a:lumMod val="75000"/>
                </a:schemeClr>
              </a:gs>
            </a:gsLst>
            <a:lin ang="5400000" scaled="1"/>
          </a:gradFill>
          <a:ln>
            <a:noFill/>
          </a:ln>
          <a:effectLst>
            <a:outerShdw blurRad="254000" sx="102000" sy="102000" algn="ctr" rotWithShape="0">
              <a:prstClr val="black">
                <a:alpha val="20000"/>
              </a:prstClr>
            </a:outerShdw>
          </a:effectLst>
        </c:spPr>
      </c:pivotFmt>
      <c:pivotFmt>
        <c:idx val="9"/>
        <c:spPr>
          <a:gradFill>
            <a:gsLst>
              <a:gs pos="0">
                <a:srgbClr val="00B0F0"/>
              </a:gs>
              <a:gs pos="0">
                <a:srgbClr val="FFFF00"/>
              </a:gs>
              <a:gs pos="0">
                <a:srgbClr val="FFFF00"/>
              </a:gs>
              <a:gs pos="0">
                <a:srgbClr val="00B0F0"/>
              </a:gs>
            </a:gsLst>
            <a:lin ang="5400000" scaled="1"/>
          </a:gradFill>
          <a:ln>
            <a:noFill/>
          </a:ln>
          <a:effectLst>
            <a:outerShdw blurRad="254000" sx="102000" sy="102000" algn="ctr" rotWithShape="0">
              <a:prstClr val="black">
                <a:alpha val="20000"/>
              </a:prstClr>
            </a:outerShdw>
          </a:effectLst>
        </c:spPr>
      </c:pivotFmt>
      <c:pivotFmt>
        <c:idx val="10"/>
        <c:spPr>
          <a:gradFill>
            <a:gsLst>
              <a:gs pos="0">
                <a:schemeClr val="accent4"/>
              </a:gs>
              <a:gs pos="0">
                <a:srgbClr val="FFFF00"/>
              </a:gs>
              <a:gs pos="0">
                <a:srgbClr val="FFFF00"/>
              </a:gs>
              <a:gs pos="0">
                <a:srgbClr val="FFC000"/>
              </a:gs>
            </a:gsLst>
            <a:lin ang="5400000" scaled="1"/>
          </a:gra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
        <c:idx val="12"/>
        <c:spPr>
          <a:gradFill>
            <a:gsLst>
              <a:gs pos="0">
                <a:schemeClr val="accent4"/>
              </a:gs>
              <a:gs pos="70000">
                <a:srgbClr val="FFFF00"/>
              </a:gs>
              <a:gs pos="40000">
                <a:srgbClr val="FFFF00"/>
              </a:gs>
              <a:gs pos="100000">
                <a:srgbClr val="FFC000"/>
              </a:gs>
            </a:gsLst>
            <a:lin ang="5400000" scaled="1"/>
          </a:gradFill>
          <a:ln>
            <a:noFill/>
          </a:ln>
          <a:effectLst>
            <a:outerShdw blurRad="254000" sx="102000" sy="102000" algn="ctr" rotWithShape="0">
              <a:prstClr val="black">
                <a:alpha val="20000"/>
              </a:prstClr>
            </a:outerShdw>
          </a:effectLst>
        </c:spPr>
      </c:pivotFmt>
      <c:pivotFmt>
        <c:idx val="13"/>
        <c:spPr>
          <a:gradFill>
            <a:gsLst>
              <a:gs pos="0">
                <a:schemeClr val="accent4"/>
              </a:gs>
              <a:gs pos="0">
                <a:srgbClr val="FFFF00"/>
              </a:gs>
              <a:gs pos="0">
                <a:srgbClr val="FFFF00"/>
              </a:gs>
              <a:gs pos="0">
                <a:schemeClr val="accent2">
                  <a:lumMod val="75000"/>
                </a:schemeClr>
              </a:gs>
            </a:gsLst>
            <a:lin ang="5400000" scaled="1"/>
          </a:gradFill>
          <a:ln>
            <a:noFill/>
          </a:ln>
          <a:effectLst>
            <a:outerShdw blurRad="254000" sx="102000" sy="102000" algn="ctr" rotWithShape="0">
              <a:prstClr val="black">
                <a:alpha val="20000"/>
              </a:prstClr>
            </a:outerShdw>
          </a:effectLst>
        </c:spPr>
      </c:pivotFmt>
      <c:pivotFmt>
        <c:idx val="14"/>
        <c:spPr>
          <a:gradFill>
            <a:gsLst>
              <a:gs pos="0">
                <a:srgbClr val="00B0F0"/>
              </a:gs>
              <a:gs pos="0">
                <a:srgbClr val="FFFF00"/>
              </a:gs>
              <a:gs pos="0">
                <a:srgbClr val="FFFF00"/>
              </a:gs>
              <a:gs pos="0">
                <a:srgbClr val="00B0F0"/>
              </a:gs>
            </a:gsLst>
            <a:lin ang="5400000" scaled="1"/>
          </a:gradFill>
          <a:ln>
            <a:noFill/>
          </a:ln>
          <a:effectLst>
            <a:outerShdw blurRad="254000" sx="102000" sy="102000" algn="ctr" rotWithShape="0">
              <a:prstClr val="black">
                <a:alpha val="20000"/>
              </a:prstClr>
            </a:outerShdw>
          </a:effectLst>
        </c:spPr>
      </c:pivotFmt>
      <c:pivotFmt>
        <c:idx val="15"/>
        <c:spPr>
          <a:gradFill>
            <a:gsLst>
              <a:gs pos="0">
                <a:schemeClr val="accent4"/>
              </a:gs>
              <a:gs pos="0">
                <a:srgbClr val="FFFF00"/>
              </a:gs>
              <a:gs pos="0">
                <a:srgbClr val="FFFF00"/>
              </a:gs>
              <a:gs pos="0">
                <a:srgbClr val="FFC000"/>
              </a:gs>
            </a:gsLst>
            <a:lin ang="5400000" scaled="1"/>
          </a:gra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'Pivot table Analyzing'!$H$9</c:f>
              <c:strCache>
                <c:ptCount val="1"/>
                <c:pt idx="0">
                  <c:v>Total</c:v>
                </c:pt>
              </c:strCache>
            </c:strRef>
          </c:tx>
          <c:dPt>
            <c:idx val="0"/>
            <c:bubble3D val="0"/>
            <c:spPr>
              <a:gradFill>
                <a:gsLst>
                  <a:gs pos="0">
                    <a:schemeClr val="accent4"/>
                  </a:gs>
                  <a:gs pos="70000">
                    <a:srgbClr val="FFFF00"/>
                  </a:gs>
                  <a:gs pos="40000">
                    <a:srgbClr val="FFFF00"/>
                  </a:gs>
                  <a:gs pos="100000">
                    <a:srgbClr val="FFC000"/>
                  </a:gs>
                </a:gsLst>
                <a:lin ang="5400000" scaled="1"/>
              </a:gra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80B-42F7-81CB-A8B3B752EC56}"/>
              </c:ext>
            </c:extLst>
          </c:dPt>
          <c:dPt>
            <c:idx val="1"/>
            <c:bubble3D val="0"/>
            <c:spPr>
              <a:gradFill>
                <a:gsLst>
                  <a:gs pos="0">
                    <a:schemeClr val="accent4"/>
                  </a:gs>
                  <a:gs pos="0">
                    <a:srgbClr val="FFFF00"/>
                  </a:gs>
                  <a:gs pos="0">
                    <a:srgbClr val="FFFF00"/>
                  </a:gs>
                  <a:gs pos="0">
                    <a:schemeClr val="accent2">
                      <a:lumMod val="75000"/>
                    </a:schemeClr>
                  </a:gs>
                </a:gsLst>
                <a:lin ang="5400000" scaled="1"/>
              </a:gra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80B-42F7-81CB-A8B3B752EC56}"/>
              </c:ext>
            </c:extLst>
          </c:dPt>
          <c:dPt>
            <c:idx val="2"/>
            <c:bubble3D val="0"/>
            <c:spPr>
              <a:gradFill>
                <a:gsLst>
                  <a:gs pos="0">
                    <a:srgbClr val="00B0F0"/>
                  </a:gs>
                  <a:gs pos="0">
                    <a:srgbClr val="FFFF00"/>
                  </a:gs>
                  <a:gs pos="0">
                    <a:srgbClr val="FFFF00"/>
                  </a:gs>
                  <a:gs pos="0">
                    <a:srgbClr val="00B0F0"/>
                  </a:gs>
                </a:gsLst>
                <a:lin ang="5400000" scaled="1"/>
              </a:gra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80B-42F7-81CB-A8B3B752EC56}"/>
              </c:ext>
            </c:extLst>
          </c:dPt>
          <c:dPt>
            <c:idx val="3"/>
            <c:bubble3D val="0"/>
            <c:spPr>
              <a:gradFill>
                <a:gsLst>
                  <a:gs pos="0">
                    <a:schemeClr val="accent4"/>
                  </a:gs>
                  <a:gs pos="0">
                    <a:srgbClr val="FFFF00"/>
                  </a:gs>
                  <a:gs pos="0">
                    <a:srgbClr val="FFFF00"/>
                  </a:gs>
                  <a:gs pos="0">
                    <a:srgbClr val="FFC000"/>
                  </a:gs>
                </a:gsLst>
                <a:lin ang="5400000" scaled="1"/>
              </a:gra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80B-42F7-81CB-A8B3B752EC5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'Pivot table Analyzing'!$G$10:$G$13</c:f>
              <c:strCache>
                <c:ptCount val="4"/>
                <c:pt idx="0">
                  <c:v>East</c:v>
                </c:pt>
                <c:pt idx="1">
                  <c:v>North</c:v>
                </c:pt>
                <c:pt idx="2">
                  <c:v>South</c:v>
                </c:pt>
                <c:pt idx="3">
                  <c:v>West</c:v>
                </c:pt>
              </c:strCache>
            </c:strRef>
          </c:cat>
          <c:val>
            <c:numRef>
              <c:f>'Pivot table Analyzing'!$H$10:$H$13</c:f>
              <c:numCache>
                <c:formatCode>General</c:formatCode>
                <c:ptCount val="4"/>
                <c:pt idx="0">
                  <c:v>212190</c:v>
                </c:pt>
                <c:pt idx="1">
                  <c:v>158629</c:v>
                </c:pt>
                <c:pt idx="2">
                  <c:v>175443</c:v>
                </c:pt>
                <c:pt idx="3">
                  <c:v>130104</c:v>
                </c:pt>
              </c:numCache>
            </c:numRef>
          </c:val>
          <c:extLst>
            <c:ext xmlns:c16="http://schemas.microsoft.com/office/drawing/2014/chart" uri="{C3380CC4-5D6E-409C-BE32-E72D297353CC}">
              <c16:uniqueId val="{00000008-D80B-42F7-81CB-A8B3B752EC56}"/>
            </c:ext>
          </c:extLst>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12700</xdr:colOff>
      <xdr:row>9</xdr:row>
      <xdr:rowOff>120650</xdr:rowOff>
    </xdr:from>
    <xdr:to>
      <xdr:col>26</xdr:col>
      <xdr:colOff>251984</xdr:colOff>
      <xdr:row>21</xdr:row>
      <xdr:rowOff>88900</xdr:rowOff>
    </xdr:to>
    <xdr:sp macro="" textlink="">
      <xdr:nvSpPr>
        <xdr:cNvPr id="6" name="Double Wave 5"/>
        <xdr:cNvSpPr/>
      </xdr:nvSpPr>
      <xdr:spPr>
        <a:xfrm>
          <a:off x="12700" y="1801532"/>
          <a:ext cx="16020902" cy="2209427"/>
        </a:xfrm>
        <a:prstGeom prst="doubleWave">
          <a:avLst/>
        </a:prstGeom>
        <a:gradFill>
          <a:gsLst>
            <a:gs pos="29000">
              <a:srgbClr val="FFC000"/>
            </a:gs>
            <a:gs pos="79000">
              <a:schemeClr val="accent4"/>
            </a:gs>
            <a:gs pos="49000">
              <a:srgbClr val="FFFF00"/>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361849</xdr:colOff>
      <xdr:row>2</xdr:row>
      <xdr:rowOff>107648</xdr:rowOff>
    </xdr:from>
    <xdr:to>
      <xdr:col>18</xdr:col>
      <xdr:colOff>209550</xdr:colOff>
      <xdr:row>12</xdr:row>
      <xdr:rowOff>12700</xdr:rowOff>
    </xdr:to>
    <xdr:grpSp>
      <xdr:nvGrpSpPr>
        <xdr:cNvPr id="2" name="Group 1"/>
        <xdr:cNvGrpSpPr/>
      </xdr:nvGrpSpPr>
      <xdr:grpSpPr>
        <a:xfrm>
          <a:off x="2187474" y="478065"/>
          <a:ext cx="8975826" cy="1757135"/>
          <a:chOff x="1263650" y="869950"/>
          <a:chExt cx="7988300" cy="2870200"/>
        </a:xfrm>
      </xdr:grpSpPr>
      <xdr:sp macro="" textlink="">
        <xdr:nvSpPr>
          <xdr:cNvPr id="3" name="Rounded Rectangle 2"/>
          <xdr:cNvSpPr/>
        </xdr:nvSpPr>
        <xdr:spPr>
          <a:xfrm>
            <a:off x="1263650" y="869950"/>
            <a:ext cx="7988300" cy="2819400"/>
          </a:xfrm>
          <a:prstGeom prst="roundRect">
            <a:avLst/>
          </a:prstGeom>
          <a:solidFill>
            <a:schemeClr val="tx1"/>
          </a:solidFill>
          <a:ln>
            <a:gradFill>
              <a:gsLst>
                <a:gs pos="0">
                  <a:srgbClr val="FFFF00"/>
                </a:gs>
                <a:gs pos="74000">
                  <a:srgbClr val="FFC000"/>
                </a:gs>
                <a:gs pos="83000">
                  <a:srgbClr val="FFC000"/>
                </a:gs>
                <a:gs pos="100000">
                  <a:srgbClr val="FFFF00"/>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 name="Chart 3"/>
          <xdr:cNvGraphicFramePr/>
        </xdr:nvGraphicFramePr>
        <xdr:xfrm>
          <a:off x="1463674" y="901700"/>
          <a:ext cx="7788276" cy="2838450"/>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0</xdr:col>
      <xdr:colOff>22222</xdr:colOff>
      <xdr:row>2</xdr:row>
      <xdr:rowOff>133350</xdr:rowOff>
    </xdr:from>
    <xdr:to>
      <xdr:col>3</xdr:col>
      <xdr:colOff>317500</xdr:colOff>
      <xdr:row>22</xdr:row>
      <xdr:rowOff>12700</xdr:rowOff>
    </xdr:to>
    <xdr:grpSp>
      <xdr:nvGrpSpPr>
        <xdr:cNvPr id="9" name="Group 8"/>
        <xdr:cNvGrpSpPr/>
      </xdr:nvGrpSpPr>
      <xdr:grpSpPr>
        <a:xfrm>
          <a:off x="22222" y="503767"/>
          <a:ext cx="2120903" cy="3583516"/>
          <a:chOff x="1479548" y="273050"/>
          <a:chExt cx="2019301" cy="4419600"/>
        </a:xfrm>
        <a:solidFill>
          <a:schemeClr val="tx1"/>
        </a:solidFill>
      </xdr:grpSpPr>
      <xdr:sp macro="" textlink="">
        <xdr:nvSpPr>
          <xdr:cNvPr id="7" name="Rounded Rectangle 6"/>
          <xdr:cNvSpPr/>
        </xdr:nvSpPr>
        <xdr:spPr>
          <a:xfrm>
            <a:off x="1511300" y="273050"/>
            <a:ext cx="1974850" cy="4419600"/>
          </a:xfrm>
          <a:prstGeom prst="roundRect">
            <a:avLst/>
          </a:prstGeom>
          <a:grpFill/>
          <a:ln>
            <a:gradFill>
              <a:gsLst>
                <a:gs pos="0">
                  <a:schemeClr val="accent4">
                    <a:lumMod val="60000"/>
                    <a:lumOff val="40000"/>
                  </a:schemeClr>
                </a:gs>
                <a:gs pos="30000">
                  <a:srgbClr val="FFFF00"/>
                </a:gs>
                <a:gs pos="100000">
                  <a:srgbClr val="FFC000"/>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5" name="Chart 4"/>
          <xdr:cNvGraphicFramePr>
            <a:graphicFrameLocks/>
          </xdr:cNvGraphicFramePr>
        </xdr:nvGraphicFramePr>
        <xdr:xfrm>
          <a:off x="1479548" y="336552"/>
          <a:ext cx="2019301" cy="434340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3</xdr:col>
      <xdr:colOff>348442</xdr:colOff>
      <xdr:row>12</xdr:row>
      <xdr:rowOff>9674</xdr:rowOff>
    </xdr:from>
    <xdr:to>
      <xdr:col>7</xdr:col>
      <xdr:colOff>171450</xdr:colOff>
      <xdr:row>22</xdr:row>
      <xdr:rowOff>82550</xdr:rowOff>
    </xdr:to>
    <xdr:grpSp>
      <xdr:nvGrpSpPr>
        <xdr:cNvPr id="16" name="Group 15"/>
        <xdr:cNvGrpSpPr/>
      </xdr:nvGrpSpPr>
      <xdr:grpSpPr>
        <a:xfrm>
          <a:off x="2174067" y="2232174"/>
          <a:ext cx="2257175" cy="1924959"/>
          <a:chOff x="2634746" y="4635801"/>
          <a:chExt cx="4068032" cy="1925865"/>
        </a:xfrm>
      </xdr:grpSpPr>
      <xdr:sp macro="" textlink="">
        <xdr:nvSpPr>
          <xdr:cNvPr id="15" name="Rounded Rectangle 14"/>
          <xdr:cNvSpPr/>
        </xdr:nvSpPr>
        <xdr:spPr>
          <a:xfrm>
            <a:off x="2634746" y="4635801"/>
            <a:ext cx="4068032" cy="1925865"/>
          </a:xfrm>
          <a:prstGeom prst="roundRect">
            <a:avLst/>
          </a:prstGeom>
          <a:solidFill>
            <a:schemeClr val="tx1"/>
          </a:solidFill>
          <a:ln>
            <a:gradFill>
              <a:gsLst>
                <a:gs pos="39000">
                  <a:srgbClr val="FFFF00"/>
                </a:gs>
                <a:gs pos="2000">
                  <a:srgbClr val="FFC000"/>
                </a:gs>
                <a:gs pos="83000">
                  <a:srgbClr val="FFC000"/>
                </a:gs>
                <a:gs pos="100000">
                  <a:schemeClr val="accent4"/>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0" name="Chart 9"/>
          <xdr:cNvGraphicFramePr>
            <a:graphicFrameLocks/>
          </xdr:cNvGraphicFramePr>
        </xdr:nvGraphicFramePr>
        <xdr:xfrm>
          <a:off x="2896911" y="4692146"/>
          <a:ext cx="3461959" cy="1858736"/>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7</xdr:col>
      <xdr:colOff>215900</xdr:colOff>
      <xdr:row>12</xdr:row>
      <xdr:rowOff>23488</xdr:rowOff>
    </xdr:from>
    <xdr:to>
      <xdr:col>11</xdr:col>
      <xdr:colOff>31750</xdr:colOff>
      <xdr:row>23</xdr:row>
      <xdr:rowOff>95250</xdr:rowOff>
    </xdr:to>
    <xdr:grpSp>
      <xdr:nvGrpSpPr>
        <xdr:cNvPr id="21" name="Group 20"/>
        <xdr:cNvGrpSpPr/>
      </xdr:nvGrpSpPr>
      <xdr:grpSpPr>
        <a:xfrm>
          <a:off x="4475692" y="2245988"/>
          <a:ext cx="2250016" cy="2109054"/>
          <a:chOff x="8527144" y="4001508"/>
          <a:chExt cx="3314700" cy="2365238"/>
        </a:xfrm>
      </xdr:grpSpPr>
      <xdr:sp macro="" textlink="">
        <xdr:nvSpPr>
          <xdr:cNvPr id="18" name="Rounded Rectangle 17"/>
          <xdr:cNvSpPr/>
        </xdr:nvSpPr>
        <xdr:spPr>
          <a:xfrm>
            <a:off x="8527144" y="4001508"/>
            <a:ext cx="3314700" cy="2212988"/>
          </a:xfrm>
          <a:prstGeom prst="roundRect">
            <a:avLst/>
          </a:prstGeom>
          <a:solidFill>
            <a:schemeClr val="tx1"/>
          </a:solidFill>
          <a:ln>
            <a:gradFill>
              <a:gsLst>
                <a:gs pos="0">
                  <a:schemeClr val="accent4"/>
                </a:gs>
                <a:gs pos="70000">
                  <a:srgbClr val="FFFF00"/>
                </a:gs>
                <a:gs pos="40000">
                  <a:srgbClr val="FFFF00"/>
                </a:gs>
                <a:gs pos="100000">
                  <a:srgbClr val="FFC000"/>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0" name="Chart 19"/>
          <xdr:cNvGraphicFramePr>
            <a:graphicFrameLocks/>
          </xdr:cNvGraphicFramePr>
        </xdr:nvGraphicFramePr>
        <xdr:xfrm>
          <a:off x="8638017" y="4051905"/>
          <a:ext cx="2992229" cy="2314841"/>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14</xdr:col>
      <xdr:colOff>565150</xdr:colOff>
      <xdr:row>12</xdr:row>
      <xdr:rowOff>33564</xdr:rowOff>
    </xdr:from>
    <xdr:to>
      <xdr:col>19</xdr:col>
      <xdr:colOff>125790</xdr:colOff>
      <xdr:row>22</xdr:row>
      <xdr:rowOff>63500</xdr:rowOff>
    </xdr:to>
    <xdr:grpSp>
      <xdr:nvGrpSpPr>
        <xdr:cNvPr id="22" name="Group 21"/>
        <xdr:cNvGrpSpPr/>
      </xdr:nvGrpSpPr>
      <xdr:grpSpPr>
        <a:xfrm>
          <a:off x="9084733" y="2256064"/>
          <a:ext cx="2603349" cy="1882019"/>
          <a:chOff x="4235450" y="3175000"/>
          <a:chExt cx="3143250" cy="1885950"/>
        </a:xfrm>
      </xdr:grpSpPr>
      <xdr:sp macro="" textlink="">
        <xdr:nvSpPr>
          <xdr:cNvPr id="23" name="Rounded Rectangle 22"/>
          <xdr:cNvSpPr/>
        </xdr:nvSpPr>
        <xdr:spPr>
          <a:xfrm>
            <a:off x="4235450" y="3175000"/>
            <a:ext cx="3143250" cy="1885950"/>
          </a:xfrm>
          <a:prstGeom prst="roundRect">
            <a:avLst/>
          </a:prstGeom>
          <a:solidFill>
            <a:schemeClr val="tx1"/>
          </a:solidFill>
          <a:ln w="12700">
            <a:gradFill>
              <a:gsLst>
                <a:gs pos="14516">
                  <a:srgbClr val="FFFF00"/>
                </a:gs>
                <a:gs pos="85000">
                  <a:srgbClr val="FFFF00"/>
                </a:gs>
                <a:gs pos="37000">
                  <a:srgbClr val="FFC000"/>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4" name="Chart 23"/>
          <xdr:cNvGraphicFramePr/>
        </xdr:nvGraphicFramePr>
        <xdr:xfrm>
          <a:off x="4359275" y="3206750"/>
          <a:ext cx="2873375" cy="1822450"/>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11</xdr:col>
      <xdr:colOff>69678</xdr:colOff>
      <xdr:row>11</xdr:row>
      <xdr:rowOff>159666</xdr:rowOff>
    </xdr:from>
    <xdr:to>
      <xdr:col>14</xdr:col>
      <xdr:colOff>527050</xdr:colOff>
      <xdr:row>22</xdr:row>
      <xdr:rowOff>95250</xdr:rowOff>
    </xdr:to>
    <xdr:grpSp>
      <xdr:nvGrpSpPr>
        <xdr:cNvPr id="25" name="Group 24"/>
        <xdr:cNvGrpSpPr/>
      </xdr:nvGrpSpPr>
      <xdr:grpSpPr>
        <a:xfrm>
          <a:off x="6763636" y="2196958"/>
          <a:ext cx="2282997" cy="1972875"/>
          <a:chOff x="5721350" y="1936750"/>
          <a:chExt cx="2844800" cy="1651000"/>
        </a:xfrm>
      </xdr:grpSpPr>
      <xdr:sp macro="" textlink="">
        <xdr:nvSpPr>
          <xdr:cNvPr id="26" name="Rounded Rectangle 25"/>
          <xdr:cNvSpPr/>
        </xdr:nvSpPr>
        <xdr:spPr>
          <a:xfrm>
            <a:off x="5721350" y="1968500"/>
            <a:ext cx="2844800" cy="1619250"/>
          </a:xfrm>
          <a:prstGeom prst="roundRect">
            <a:avLst/>
          </a:prstGeom>
          <a:solidFill>
            <a:schemeClr val="tx1"/>
          </a:solidFill>
          <a:ln>
            <a:gradFill>
              <a:gsLst>
                <a:gs pos="0">
                  <a:srgbClr val="FFC000"/>
                </a:gs>
                <a:gs pos="69000">
                  <a:schemeClr val="accent4"/>
                </a:gs>
                <a:gs pos="28000">
                  <a:srgbClr val="FFFF00"/>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7" name="Chart 26"/>
          <xdr:cNvGraphicFramePr/>
        </xdr:nvGraphicFramePr>
        <xdr:xfrm>
          <a:off x="5981700" y="1936750"/>
          <a:ext cx="2355850" cy="1625600"/>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4</xdr:col>
      <xdr:colOff>482600</xdr:colOff>
      <xdr:row>0</xdr:row>
      <xdr:rowOff>12700</xdr:rowOff>
    </xdr:from>
    <xdr:to>
      <xdr:col>14</xdr:col>
      <xdr:colOff>158750</xdr:colOff>
      <xdr:row>2</xdr:row>
      <xdr:rowOff>38100</xdr:rowOff>
    </xdr:to>
    <xdr:sp macro="" textlink="">
      <xdr:nvSpPr>
        <xdr:cNvPr id="28" name="Rectangle 27"/>
        <xdr:cNvSpPr/>
      </xdr:nvSpPr>
      <xdr:spPr>
        <a:xfrm>
          <a:off x="2921000" y="12700"/>
          <a:ext cx="5772150" cy="39370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2400" b="1"/>
            <a:t>Interactive</a:t>
          </a:r>
          <a:r>
            <a:rPr lang="en-US" sz="2400" b="1" baseline="0"/>
            <a:t> sale Dashboard</a:t>
          </a:r>
          <a:endParaRPr lang="en-US" sz="2400" b="1"/>
        </a:p>
      </xdr:txBody>
    </xdr:sp>
    <xdr:clientData/>
  </xdr:twoCellAnchor>
  <xdr:twoCellAnchor>
    <xdr:from>
      <xdr:col>0</xdr:col>
      <xdr:colOff>565150</xdr:colOff>
      <xdr:row>2</xdr:row>
      <xdr:rowOff>31750</xdr:rowOff>
    </xdr:from>
    <xdr:to>
      <xdr:col>18</xdr:col>
      <xdr:colOff>114300</xdr:colOff>
      <xdr:row>2</xdr:row>
      <xdr:rowOff>38100</xdr:rowOff>
    </xdr:to>
    <xdr:cxnSp macro="">
      <xdr:nvCxnSpPr>
        <xdr:cNvPr id="32" name="Straight Connector 31"/>
        <xdr:cNvCxnSpPr/>
      </xdr:nvCxnSpPr>
      <xdr:spPr>
        <a:xfrm>
          <a:off x="565150" y="400050"/>
          <a:ext cx="10521950" cy="6350"/>
        </a:xfrm>
        <a:prstGeom prst="line">
          <a:avLst/>
        </a:prstGeom>
        <a:ln w="9525">
          <a:gradFill>
            <a:gsLst>
              <a:gs pos="0">
                <a:srgbClr val="FFC000"/>
              </a:gs>
              <a:gs pos="85000">
                <a:srgbClr val="FFC000"/>
              </a:gs>
              <a:gs pos="50000">
                <a:srgbClr val="FFFF00"/>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163779</xdr:colOff>
      <xdr:row>23</xdr:row>
      <xdr:rowOff>23242</xdr:rowOff>
    </xdr:from>
    <xdr:to>
      <xdr:col>11</xdr:col>
      <xdr:colOff>163779</xdr:colOff>
      <xdr:row>29</xdr:row>
      <xdr:rowOff>85986</xdr:rowOff>
    </xdr:to>
    <mc:AlternateContent xmlns:mc="http://schemas.openxmlformats.org/markup-compatibility/2006">
      <mc:Choice xmlns:a14="http://schemas.microsoft.com/office/drawing/2010/main" Requires="a14">
        <xdr:graphicFrame macro="">
          <xdr:nvGraphicFramePr>
            <xdr:cNvPr id="35" name="Channel"/>
            <xdr:cNvGraphicFramePr/>
          </xdr:nvGraphicFramePr>
          <xdr:xfrm>
            <a:off x="0" y="0"/>
            <a:ext cx="0" cy="0"/>
          </xdr:xfrm>
          <a:graphic>
            <a:graphicData uri="http://schemas.microsoft.com/office/drawing/2010/slicer">
              <sle:slicer xmlns:sle="http://schemas.microsoft.com/office/drawing/2010/slicer" name="Channel"/>
            </a:graphicData>
          </a:graphic>
        </xdr:graphicFrame>
      </mc:Choice>
      <mc:Fallback>
        <xdr:sp macro="" textlink="">
          <xdr:nvSpPr>
            <xdr:cNvPr id="0" name=""/>
            <xdr:cNvSpPr>
              <a:spLocks noTextEdit="1"/>
            </xdr:cNvSpPr>
          </xdr:nvSpPr>
          <xdr:spPr>
            <a:xfrm>
              <a:off x="5032112" y="4283034"/>
              <a:ext cx="1825625" cy="11739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173302</xdr:colOff>
      <xdr:row>22</xdr:row>
      <xdr:rowOff>167180</xdr:rowOff>
    </xdr:from>
    <xdr:to>
      <xdr:col>8</xdr:col>
      <xdr:colOff>173302</xdr:colOff>
      <xdr:row>29</xdr:row>
      <xdr:rowOff>6615</xdr:rowOff>
    </xdr:to>
    <mc:AlternateContent xmlns:mc="http://schemas.openxmlformats.org/markup-compatibility/2006">
      <mc:Choice xmlns:a14="http://schemas.microsoft.com/office/drawing/2010/main" Requires="a14">
        <xdr:graphicFrame macro="">
          <xdr:nvGraphicFramePr>
            <xdr:cNvPr id="36" name="Product"/>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3216010" y="4241763"/>
              <a:ext cx="1825625" cy="11358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257705</xdr:colOff>
      <xdr:row>22</xdr:row>
      <xdr:rowOff>140456</xdr:rowOff>
    </xdr:from>
    <xdr:to>
      <xdr:col>2</xdr:col>
      <xdr:colOff>594255</xdr:colOff>
      <xdr:row>30</xdr:row>
      <xdr:rowOff>132291</xdr:rowOff>
    </xdr:to>
    <mc:AlternateContent xmlns:mc="http://schemas.openxmlformats.org/markup-compatibility/2006">
      <mc:Choice xmlns:a14="http://schemas.microsoft.com/office/drawing/2010/main" Requires="a14">
        <xdr:graphicFrame macro="">
          <xdr:nvGraphicFramePr>
            <xdr:cNvPr id="37" name="SalesPerson"/>
            <xdr:cNvGraphicFramePr/>
          </xdr:nvGraphicFramePr>
          <xdr:xfrm>
            <a:off x="0" y="0"/>
            <a:ext cx="0" cy="0"/>
          </xdr:xfrm>
          <a:graphic>
            <a:graphicData uri="http://schemas.microsoft.com/office/drawing/2010/slicer">
              <sle:slicer xmlns:sle="http://schemas.microsoft.com/office/drawing/2010/slicer" name="SalesPerson"/>
            </a:graphicData>
          </a:graphic>
        </xdr:graphicFrame>
      </mc:Choice>
      <mc:Fallback>
        <xdr:sp macro="" textlink="">
          <xdr:nvSpPr>
            <xdr:cNvPr id="0" name=""/>
            <xdr:cNvSpPr>
              <a:spLocks noTextEdit="1"/>
            </xdr:cNvSpPr>
          </xdr:nvSpPr>
          <xdr:spPr>
            <a:xfrm>
              <a:off x="257705" y="4215039"/>
              <a:ext cx="1553633" cy="14735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540809</xdr:colOff>
      <xdr:row>22</xdr:row>
      <xdr:rowOff>152099</xdr:rowOff>
    </xdr:from>
    <xdr:to>
      <xdr:col>5</xdr:col>
      <xdr:colOff>262467</xdr:colOff>
      <xdr:row>30</xdr:row>
      <xdr:rowOff>162983</xdr:rowOff>
    </xdr:to>
    <mc:AlternateContent xmlns:mc="http://schemas.openxmlformats.org/markup-compatibility/2006">
      <mc:Choice xmlns:a14="http://schemas.microsoft.com/office/drawing/2010/main" Requires="a14">
        <xdr:graphicFrame macro="">
          <xdr:nvGraphicFramePr>
            <xdr:cNvPr id="38"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757892" y="4226682"/>
              <a:ext cx="1547283" cy="14925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304800</xdr:colOff>
      <xdr:row>23</xdr:row>
      <xdr:rowOff>25400</xdr:rowOff>
    </xdr:from>
    <xdr:to>
      <xdr:col>19</xdr:col>
      <xdr:colOff>107950</xdr:colOff>
      <xdr:row>28</xdr:row>
      <xdr:rowOff>133350</xdr:rowOff>
    </xdr:to>
    <mc:AlternateContent xmlns:mc="http://schemas.openxmlformats.org/markup-compatibility/2006">
      <mc:Choice xmlns:a14="http://schemas.microsoft.com/office/drawing/2010/main" Requires="a14">
        <xdr:graphicFrame macro="">
          <xdr:nvGraphicFramePr>
            <xdr:cNvPr id="39" name="Date"/>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dr:sp macro="" textlink="">
          <xdr:nvSpPr>
            <xdr:cNvPr id="0" name=""/>
            <xdr:cNvSpPr>
              <a:spLocks noTextEdit="1"/>
            </xdr:cNvSpPr>
          </xdr:nvSpPr>
          <xdr:spPr>
            <a:xfrm>
              <a:off x="6998758" y="4285192"/>
              <a:ext cx="4671484" cy="10339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p" refreshedDate="46107.935093171298" createdVersion="6" refreshedVersion="6" minRefreshableVersion="3" recordCount="48">
  <cacheSource type="worksheet">
    <worksheetSource ref="A1:F49" sheet="Raw Data"/>
  </cacheSource>
  <cacheFields count="7">
    <cacheField name="Date" numFmtId="14">
      <sharedItems containsSemiMixedTypes="0" containsNonDate="0" containsDate="1" containsString="0" minDate="2015-01-01T00:00:00" maxDate="2018-12-02T00:00:00" count="48">
        <d v="2015-01-01T00:00:00"/>
        <d v="2015-02-01T00:00:00"/>
        <d v="2015-03-01T00:00:00"/>
        <d v="2015-04-01T00:00:00"/>
        <d v="2015-05-01T00:00:00"/>
        <d v="2015-06-01T00:00:00"/>
        <d v="2015-07-01T00:00:00"/>
        <d v="2015-08-01T00:00:00"/>
        <d v="2015-09-01T00:00:00"/>
        <d v="2015-10-01T00:00:00"/>
        <d v="2015-11-01T00:00:00"/>
        <d v="2015-12-01T00:00:00"/>
        <d v="2016-01-01T00:00:00"/>
        <d v="2016-02-01T00:00:00"/>
        <d v="2016-03-01T00:00:00"/>
        <d v="2016-04-01T00:00:00"/>
        <d v="2016-05-01T00:00:00"/>
        <d v="2016-06-01T00:00:00"/>
        <d v="2016-07-01T00:00:00"/>
        <d v="2016-08-01T00:00:00"/>
        <d v="2016-09-01T00:00:00"/>
        <d v="2016-10-01T00:00:00"/>
        <d v="2016-11-01T00:00:00"/>
        <d v="2016-12-01T00:00:00"/>
        <d v="2017-01-01T00:00:00"/>
        <d v="2017-02-01T00:00:00"/>
        <d v="2017-03-01T00:00:00"/>
        <d v="2017-04-01T00:00:00"/>
        <d v="2017-05-01T00:00:00"/>
        <d v="2017-06-01T00:00:00"/>
        <d v="2017-07-01T00:00:00"/>
        <d v="2017-08-01T00:00:00"/>
        <d v="2017-09-01T00:00:00"/>
        <d v="2017-10-01T00:00:00"/>
        <d v="2017-11-01T00:00:00"/>
        <d v="2017-12-01T00:00:00"/>
        <d v="2018-01-01T00:00:00"/>
        <d v="2018-02-01T00:00:00"/>
        <d v="2018-03-01T00:00:00"/>
        <d v="2018-04-01T00:00:00"/>
        <d v="2018-05-01T00:00:00"/>
        <d v="2018-06-01T00:00:00"/>
        <d v="2018-07-01T00:00:00"/>
        <d v="2018-08-01T00:00:00"/>
        <d v="2018-09-01T00:00:00"/>
        <d v="2018-10-01T00:00:00"/>
        <d v="2018-11-01T00:00:00"/>
        <d v="2018-12-01T00:00:00"/>
      </sharedItems>
      <fieldGroup par="6" base="0">
        <rangePr groupBy="months" startDate="2015-01-01T00:00:00" endDate="2018-12-02T00:00:00"/>
        <groupItems count="14">
          <s v="&lt;1/1/2015"/>
          <s v="Jan"/>
          <s v="Feb"/>
          <s v="Mar"/>
          <s v="Apr"/>
          <s v="May"/>
          <s v="Jun"/>
          <s v="Jul"/>
          <s v="Aug"/>
          <s v="Sep"/>
          <s v="Oct"/>
          <s v="Nov"/>
          <s v="Dec"/>
          <s v="&gt;12/2/2018"/>
        </groupItems>
      </fieldGroup>
    </cacheField>
    <cacheField name="Product" numFmtId="0">
      <sharedItems count="3">
        <s v="Basic"/>
        <s v="Classic"/>
        <s v="Premium"/>
      </sharedItems>
    </cacheField>
    <cacheField name="Region" numFmtId="0">
      <sharedItems count="4">
        <s v="East"/>
        <s v="North"/>
        <s v="South"/>
        <s v="West"/>
      </sharedItems>
    </cacheField>
    <cacheField name="Channel" numFmtId="0">
      <sharedItems count="3">
        <s v="Online"/>
        <s v="Retail"/>
        <s v="Direct"/>
      </sharedItems>
    </cacheField>
    <cacheField name="SalesPerson" numFmtId="0">
      <sharedItems count="7">
        <s v="Danyal"/>
        <s v="Linda"/>
        <s v="Paul"/>
        <s v="Hamza"/>
        <s v="John"/>
        <s v="Victor"/>
        <s v="Danyla" u="1"/>
      </sharedItems>
    </cacheField>
    <cacheField name="Sales" numFmtId="0">
      <sharedItems containsSemiMixedTypes="0" containsString="0" containsNumber="1" containsInteger="1" minValue="5148" maxValue="24781"/>
    </cacheField>
    <cacheField name="Years" numFmtId="0" databaseField="0">
      <fieldGroup base="0">
        <rangePr groupBy="years" startDate="2015-01-01T00:00:00" endDate="2018-12-02T00:00:00"/>
        <groupItems count="6">
          <s v="&lt;1/1/2015"/>
          <s v="2015"/>
          <s v="2016"/>
          <s v="2017"/>
          <s v="2018"/>
          <s v="&gt;12/2/2018"/>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8">
  <r>
    <x v="0"/>
    <x v="0"/>
    <x v="0"/>
    <x v="0"/>
    <x v="0"/>
    <n v="12797"/>
  </r>
  <r>
    <x v="1"/>
    <x v="1"/>
    <x v="1"/>
    <x v="1"/>
    <x v="1"/>
    <n v="12453"/>
  </r>
  <r>
    <x v="2"/>
    <x v="2"/>
    <x v="2"/>
    <x v="2"/>
    <x v="2"/>
    <n v="11384"/>
  </r>
  <r>
    <x v="3"/>
    <x v="0"/>
    <x v="3"/>
    <x v="0"/>
    <x v="3"/>
    <n v="11289"/>
  </r>
  <r>
    <x v="4"/>
    <x v="1"/>
    <x v="0"/>
    <x v="1"/>
    <x v="4"/>
    <n v="23838"/>
  </r>
  <r>
    <x v="5"/>
    <x v="2"/>
    <x v="1"/>
    <x v="2"/>
    <x v="1"/>
    <n v="6752"/>
  </r>
  <r>
    <x v="6"/>
    <x v="0"/>
    <x v="2"/>
    <x v="0"/>
    <x v="2"/>
    <n v="12353"/>
  </r>
  <r>
    <x v="7"/>
    <x v="1"/>
    <x v="3"/>
    <x v="1"/>
    <x v="5"/>
    <n v="22313"/>
  </r>
  <r>
    <x v="8"/>
    <x v="2"/>
    <x v="0"/>
    <x v="2"/>
    <x v="0"/>
    <n v="10409"/>
  </r>
  <r>
    <x v="9"/>
    <x v="0"/>
    <x v="1"/>
    <x v="0"/>
    <x v="1"/>
    <n v="8384"/>
  </r>
  <r>
    <x v="10"/>
    <x v="1"/>
    <x v="2"/>
    <x v="1"/>
    <x v="2"/>
    <n v="23501"/>
  </r>
  <r>
    <x v="11"/>
    <x v="2"/>
    <x v="3"/>
    <x v="2"/>
    <x v="3"/>
    <n v="5460"/>
  </r>
  <r>
    <x v="12"/>
    <x v="0"/>
    <x v="0"/>
    <x v="0"/>
    <x v="0"/>
    <n v="19466"/>
  </r>
  <r>
    <x v="13"/>
    <x v="1"/>
    <x v="1"/>
    <x v="1"/>
    <x v="1"/>
    <n v="20981"/>
  </r>
  <r>
    <x v="14"/>
    <x v="2"/>
    <x v="2"/>
    <x v="2"/>
    <x v="2"/>
    <n v="5148"/>
  </r>
  <r>
    <x v="15"/>
    <x v="0"/>
    <x v="3"/>
    <x v="0"/>
    <x v="5"/>
    <n v="6347"/>
  </r>
  <r>
    <x v="16"/>
    <x v="1"/>
    <x v="0"/>
    <x v="1"/>
    <x v="4"/>
    <n v="12694"/>
  </r>
  <r>
    <x v="17"/>
    <x v="2"/>
    <x v="1"/>
    <x v="2"/>
    <x v="1"/>
    <n v="10451"/>
  </r>
  <r>
    <x v="18"/>
    <x v="0"/>
    <x v="2"/>
    <x v="0"/>
    <x v="2"/>
    <n v="12523"/>
  </r>
  <r>
    <x v="19"/>
    <x v="1"/>
    <x v="3"/>
    <x v="1"/>
    <x v="3"/>
    <n v="15407"/>
  </r>
  <r>
    <x v="20"/>
    <x v="2"/>
    <x v="0"/>
    <x v="2"/>
    <x v="0"/>
    <n v="6971"/>
  </r>
  <r>
    <x v="21"/>
    <x v="0"/>
    <x v="1"/>
    <x v="0"/>
    <x v="1"/>
    <n v="8710"/>
  </r>
  <r>
    <x v="22"/>
    <x v="1"/>
    <x v="2"/>
    <x v="1"/>
    <x v="2"/>
    <n v="15602"/>
  </r>
  <r>
    <x v="23"/>
    <x v="2"/>
    <x v="3"/>
    <x v="2"/>
    <x v="5"/>
    <n v="8737"/>
  </r>
  <r>
    <x v="24"/>
    <x v="0"/>
    <x v="0"/>
    <x v="0"/>
    <x v="4"/>
    <n v="24781"/>
  </r>
  <r>
    <x v="25"/>
    <x v="1"/>
    <x v="1"/>
    <x v="1"/>
    <x v="1"/>
    <n v="21864"/>
  </r>
  <r>
    <x v="26"/>
    <x v="2"/>
    <x v="2"/>
    <x v="2"/>
    <x v="2"/>
    <n v="21129"/>
  </r>
  <r>
    <x v="27"/>
    <x v="0"/>
    <x v="3"/>
    <x v="0"/>
    <x v="3"/>
    <n v="6955"/>
  </r>
  <r>
    <x v="28"/>
    <x v="1"/>
    <x v="0"/>
    <x v="1"/>
    <x v="0"/>
    <n v="24035"/>
  </r>
  <r>
    <x v="29"/>
    <x v="2"/>
    <x v="1"/>
    <x v="2"/>
    <x v="1"/>
    <n v="11035"/>
  </r>
  <r>
    <x v="30"/>
    <x v="0"/>
    <x v="2"/>
    <x v="0"/>
    <x v="2"/>
    <n v="9183"/>
  </r>
  <r>
    <x v="31"/>
    <x v="1"/>
    <x v="3"/>
    <x v="1"/>
    <x v="3"/>
    <n v="14980"/>
  </r>
  <r>
    <x v="32"/>
    <x v="2"/>
    <x v="0"/>
    <x v="2"/>
    <x v="4"/>
    <n v="14626"/>
  </r>
  <r>
    <x v="33"/>
    <x v="0"/>
    <x v="1"/>
    <x v="0"/>
    <x v="1"/>
    <n v="19290"/>
  </r>
  <r>
    <x v="34"/>
    <x v="1"/>
    <x v="2"/>
    <x v="1"/>
    <x v="2"/>
    <n v="18328"/>
  </r>
  <r>
    <x v="35"/>
    <x v="0"/>
    <x v="0"/>
    <x v="0"/>
    <x v="0"/>
    <n v="16002"/>
  </r>
  <r>
    <x v="36"/>
    <x v="1"/>
    <x v="1"/>
    <x v="1"/>
    <x v="1"/>
    <n v="5900"/>
  </r>
  <r>
    <x v="37"/>
    <x v="2"/>
    <x v="2"/>
    <x v="2"/>
    <x v="2"/>
    <n v="12488"/>
  </r>
  <r>
    <x v="38"/>
    <x v="0"/>
    <x v="3"/>
    <x v="0"/>
    <x v="5"/>
    <n v="5373"/>
  </r>
  <r>
    <x v="39"/>
    <x v="1"/>
    <x v="0"/>
    <x v="1"/>
    <x v="4"/>
    <n v="9734"/>
  </r>
  <r>
    <x v="40"/>
    <x v="2"/>
    <x v="1"/>
    <x v="2"/>
    <x v="1"/>
    <n v="14455"/>
  </r>
  <r>
    <x v="41"/>
    <x v="0"/>
    <x v="2"/>
    <x v="0"/>
    <x v="2"/>
    <n v="18789"/>
  </r>
  <r>
    <x v="42"/>
    <x v="1"/>
    <x v="3"/>
    <x v="1"/>
    <x v="3"/>
    <n v="22981"/>
  </r>
  <r>
    <x v="43"/>
    <x v="2"/>
    <x v="0"/>
    <x v="2"/>
    <x v="0"/>
    <n v="14824"/>
  </r>
  <r>
    <x v="44"/>
    <x v="0"/>
    <x v="1"/>
    <x v="0"/>
    <x v="1"/>
    <n v="18354"/>
  </r>
  <r>
    <x v="45"/>
    <x v="1"/>
    <x v="2"/>
    <x v="1"/>
    <x v="2"/>
    <n v="15015"/>
  </r>
  <r>
    <x v="46"/>
    <x v="2"/>
    <x v="3"/>
    <x v="2"/>
    <x v="3"/>
    <n v="10262"/>
  </r>
  <r>
    <x v="47"/>
    <x v="0"/>
    <x v="0"/>
    <x v="0"/>
    <x v="4"/>
    <n v="220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_TopSales" cacheId="1603"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4" rowHeaderCaption="Product">
  <location ref="D2:H6" firstHeaderRow="1" firstDataRow="2" firstDataCol="1"/>
  <pivotFields count="7">
    <pivotField numFmtId="14" showAll="0">
      <items count="15">
        <item x="0"/>
        <item sd="0" x="1"/>
        <item sd="0" x="2"/>
        <item sd="0" x="3"/>
        <item sd="0" x="4"/>
        <item sd="0" x="5"/>
        <item sd="0" x="6"/>
        <item sd="0" x="7"/>
        <item sd="0" x="8"/>
        <item sd="0" x="9"/>
        <item sd="0" x="10"/>
        <item sd="0" x="11"/>
        <item sd="0" x="12"/>
        <item x="13"/>
        <item t="default"/>
      </items>
    </pivotField>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items count="5">
        <item x="0"/>
        <item x="1"/>
        <item x="2"/>
        <item x="3"/>
        <item t="default"/>
      </items>
    </pivotField>
    <pivotField showAll="0">
      <items count="4">
        <item x="2"/>
        <item x="0"/>
        <item x="1"/>
        <item t="default"/>
      </items>
    </pivotField>
    <pivotField showAll="0">
      <items count="8">
        <item x="0"/>
        <item m="1" x="6"/>
        <item x="3"/>
        <item x="4"/>
        <item x="1"/>
        <item x="2"/>
        <item x="5"/>
        <item t="default"/>
      </items>
    </pivotField>
    <pivotField dataField="1" showAll="0"/>
    <pivotField axis="axisCol" showAll="0" defaultSubtotal="0">
      <items count="6">
        <item x="0"/>
        <item x="1"/>
        <item x="2"/>
        <item x="3"/>
        <item x="4"/>
        <item x="5"/>
      </items>
    </pivotField>
  </pivotFields>
  <rowFields count="1">
    <field x="1"/>
  </rowFields>
  <rowItems count="3">
    <i>
      <x v="1"/>
    </i>
    <i>
      <x/>
    </i>
    <i>
      <x v="2"/>
    </i>
  </rowItems>
  <colFields count="1">
    <field x="6"/>
  </colFields>
  <colItems count="4">
    <i>
      <x v="1"/>
    </i>
    <i>
      <x v="2"/>
    </i>
    <i>
      <x v="3"/>
    </i>
    <i>
      <x v="4"/>
    </i>
  </colItems>
  <dataFields count="1">
    <dataField name="Sum of Sales" fld="5" baseField="0" baseItem="0"/>
  </dataFields>
  <chartFormats count="8">
    <chartFormat chart="2" format="3" series="1">
      <pivotArea type="data" outline="0" fieldPosition="0">
        <references count="2">
          <reference field="4294967294" count="1" selected="0">
            <x v="0"/>
          </reference>
          <reference field="6" count="1" selected="0">
            <x v="1"/>
          </reference>
        </references>
      </pivotArea>
    </chartFormat>
    <chartFormat chart="2" format="4" series="1">
      <pivotArea type="data" outline="0" fieldPosition="0">
        <references count="2">
          <reference field="4294967294" count="1" selected="0">
            <x v="0"/>
          </reference>
          <reference field="6" count="1" selected="0">
            <x v="2"/>
          </reference>
        </references>
      </pivotArea>
    </chartFormat>
    <chartFormat chart="2" format="5" series="1">
      <pivotArea type="data" outline="0" fieldPosition="0">
        <references count="2">
          <reference field="4294967294" count="1" selected="0">
            <x v="0"/>
          </reference>
          <reference field="6" count="1" selected="0">
            <x v="3"/>
          </reference>
        </references>
      </pivotArea>
    </chartFormat>
    <chartFormat chart="2" format="6" series="1">
      <pivotArea type="data" outline="0" fieldPosition="0">
        <references count="2">
          <reference field="4294967294" count="1" selected="0">
            <x v="0"/>
          </reference>
          <reference field="6" count="1" selected="0">
            <x v="4"/>
          </reference>
        </references>
      </pivotArea>
    </chartFormat>
    <chartFormat chart="3" format="7" series="1">
      <pivotArea type="data" outline="0" fieldPosition="0">
        <references count="2">
          <reference field="4294967294" count="1" selected="0">
            <x v="0"/>
          </reference>
          <reference field="6" count="1" selected="0">
            <x v="1"/>
          </reference>
        </references>
      </pivotArea>
    </chartFormat>
    <chartFormat chart="3" format="8" series="1">
      <pivotArea type="data" outline="0" fieldPosition="0">
        <references count="2">
          <reference field="4294967294" count="1" selected="0">
            <x v="0"/>
          </reference>
          <reference field="6" count="1" selected="0">
            <x v="2"/>
          </reference>
        </references>
      </pivotArea>
    </chartFormat>
    <chartFormat chart="3" format="9" series="1">
      <pivotArea type="data" outline="0" fieldPosition="0">
        <references count="2">
          <reference field="4294967294" count="1" selected="0">
            <x v="0"/>
          </reference>
          <reference field="6" count="1" selected="0">
            <x v="3"/>
          </reference>
        </references>
      </pivotArea>
    </chartFormat>
    <chartFormat chart="3" format="10" series="1">
      <pivotArea type="data" outline="0" fieldPosition="0">
        <references count="2">
          <reference field="4294967294" count="1" selected="0">
            <x v="0"/>
          </reference>
          <reference field="6" count="1" selected="0">
            <x v="4"/>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_Products" cacheId="1603" applyNumberFormats="0" applyBorderFormats="0" applyFontFormats="0" applyPatternFormats="0" applyAlignmentFormats="0" applyWidthHeightFormats="1" dataCaption="Values" updatedVersion="6" minRefreshableVersion="3" rowGrandTotals="0" itemPrintTitles="1" createdVersion="6" indent="0" outline="1" outlineData="1" multipleFieldFilters="0" chartFormat="8" rowHeaderCaption="Product">
  <location ref="J9:K12" firstHeaderRow="1" firstDataRow="1" firstDataCol="1"/>
  <pivotFields count="7">
    <pivotField numFmtId="14" showAll="0">
      <items count="15">
        <item x="0"/>
        <item sd="0" x="1"/>
        <item sd="0" x="2"/>
        <item sd="0" x="3"/>
        <item sd="0" x="4"/>
        <item sd="0" x="5"/>
        <item sd="0" x="6"/>
        <item sd="0" x="7"/>
        <item sd="0" x="8"/>
        <item sd="0" x="9"/>
        <item sd="0" x="10"/>
        <item sd="0" x="11"/>
        <item sd="0" x="12"/>
        <item x="13"/>
        <item t="default"/>
      </items>
    </pivotField>
    <pivotField axis="axisRow" showAll="0">
      <items count="4">
        <item x="0"/>
        <item x="1"/>
        <item x="2"/>
        <item t="default"/>
      </items>
    </pivotField>
    <pivotField showAll="0">
      <items count="5">
        <item x="0"/>
        <item x="1"/>
        <item x="2"/>
        <item x="3"/>
        <item t="default"/>
      </items>
    </pivotField>
    <pivotField showAll="0">
      <items count="4">
        <item x="2"/>
        <item x="0"/>
        <item x="1"/>
        <item t="default"/>
      </items>
    </pivotField>
    <pivotField showAll="0">
      <items count="8">
        <item x="0"/>
        <item m="1" x="6"/>
        <item x="3"/>
        <item x="4"/>
        <item x="1"/>
        <item x="2"/>
        <item x="5"/>
        <item t="default"/>
      </items>
    </pivotField>
    <pivotField dataField="1" showAll="0"/>
    <pivotField showAll="0" defaultSubtotal="0">
      <items count="6">
        <item x="0"/>
        <item x="1"/>
        <item x="2"/>
        <item x="3"/>
        <item x="4"/>
        <item x="5"/>
      </items>
    </pivotField>
  </pivotFields>
  <rowFields count="1">
    <field x="1"/>
  </rowFields>
  <rowItems count="3">
    <i>
      <x/>
    </i>
    <i>
      <x v="1"/>
    </i>
    <i>
      <x v="2"/>
    </i>
  </rowItems>
  <colItems count="1">
    <i/>
  </colItems>
  <dataFields count="1">
    <dataField name="Sum of Sales" fld="5" baseField="0" baseItem="0"/>
  </dataFields>
  <chartFormats count="2">
    <chartFormat chart="2"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_SalesPerson" cacheId="1603" applyNumberFormats="0" applyBorderFormats="0" applyFontFormats="0" applyPatternFormats="0" applyAlignmentFormats="0" applyWidthHeightFormats="1" dataCaption="Values" updatedVersion="6" minRefreshableVersion="3" rowGrandTotals="0" itemPrintTitles="1" createdVersion="6" indent="0" outline="1" outlineData="1" multipleFieldFilters="0" chartFormat="3" rowHeaderCaption="Sale Person ">
  <location ref="D9:E15" firstHeaderRow="1" firstDataRow="1" firstDataCol="1"/>
  <pivotFields count="7">
    <pivotField numFmtId="14" showAll="0">
      <items count="15">
        <item x="0"/>
        <item sd="0" x="1"/>
        <item sd="0" x="2"/>
        <item sd="0" x="3"/>
        <item sd="0" x="4"/>
        <item sd="0" x="5"/>
        <item sd="0" x="6"/>
        <item sd="0" x="7"/>
        <item sd="0" x="8"/>
        <item sd="0" x="9"/>
        <item sd="0" x="10"/>
        <item sd="0" x="11"/>
        <item sd="0" x="12"/>
        <item x="13"/>
        <item t="default"/>
      </items>
    </pivotField>
    <pivotField showAll="0">
      <items count="4">
        <item x="0"/>
        <item x="1"/>
        <item x="2"/>
        <item t="default"/>
      </items>
    </pivotField>
    <pivotField showAll="0">
      <items count="5">
        <item x="0"/>
        <item x="1"/>
        <item x="2"/>
        <item x="3"/>
        <item t="default"/>
      </items>
    </pivotField>
    <pivotField showAll="0">
      <items count="4">
        <item x="2"/>
        <item x="0"/>
        <item x="1"/>
        <item t="default"/>
      </items>
    </pivotField>
    <pivotField axis="axisRow" showAll="0">
      <items count="8">
        <item x="4"/>
        <item x="1"/>
        <item x="2"/>
        <item x="5"/>
        <item x="0"/>
        <item x="3"/>
        <item m="1" x="6"/>
        <item t="default"/>
      </items>
    </pivotField>
    <pivotField dataField="1" showAll="0"/>
    <pivotField showAll="0" defaultSubtotal="0">
      <items count="6">
        <item x="0"/>
        <item x="1"/>
        <item x="2"/>
        <item x="3"/>
        <item x="4"/>
        <item x="5"/>
      </items>
    </pivotField>
  </pivotFields>
  <rowFields count="1">
    <field x="4"/>
  </rowFields>
  <rowItems count="6">
    <i>
      <x/>
    </i>
    <i>
      <x v="1"/>
    </i>
    <i>
      <x v="2"/>
    </i>
    <i>
      <x v="3"/>
    </i>
    <i>
      <x v="4"/>
    </i>
    <i>
      <x v="5"/>
    </i>
  </rowItems>
  <colItems count="1">
    <i/>
  </colItems>
  <dataFields count="1">
    <dataField name="Sum of Sales" fld="5" baseField="0" baseItem="0"/>
  </dataFields>
  <chartFormats count="7">
    <chartFormat chart="2" format="14" series="1">
      <pivotArea type="data" outline="0" fieldPosition="0">
        <references count="1">
          <reference field="4294967294" count="1" selected="0">
            <x v="0"/>
          </reference>
        </references>
      </pivotArea>
    </chartFormat>
    <chartFormat chart="2" format="15">
      <pivotArea type="data" outline="0" fieldPosition="0">
        <references count="2">
          <reference field="4294967294" count="1" selected="0">
            <x v="0"/>
          </reference>
          <reference field="4" count="1" selected="0">
            <x v="0"/>
          </reference>
        </references>
      </pivotArea>
    </chartFormat>
    <chartFormat chart="2" format="16">
      <pivotArea type="data" outline="0" fieldPosition="0">
        <references count="2">
          <reference field="4294967294" count="1" selected="0">
            <x v="0"/>
          </reference>
          <reference field="4" count="1" selected="0">
            <x v="1"/>
          </reference>
        </references>
      </pivotArea>
    </chartFormat>
    <chartFormat chart="2" format="17">
      <pivotArea type="data" outline="0" fieldPosition="0">
        <references count="2">
          <reference field="4294967294" count="1" selected="0">
            <x v="0"/>
          </reference>
          <reference field="4" count="1" selected="0">
            <x v="2"/>
          </reference>
        </references>
      </pivotArea>
    </chartFormat>
    <chartFormat chart="2" format="18">
      <pivotArea type="data" outline="0" fieldPosition="0">
        <references count="2">
          <reference field="4294967294" count="1" selected="0">
            <x v="0"/>
          </reference>
          <reference field="4" count="1" selected="0">
            <x v="3"/>
          </reference>
        </references>
      </pivotArea>
    </chartFormat>
    <chartFormat chart="2" format="19">
      <pivotArea type="data" outline="0" fieldPosition="0">
        <references count="2">
          <reference field="4294967294" count="1" selected="0">
            <x v="0"/>
          </reference>
          <reference field="4" count="1" selected="0">
            <x v="4"/>
          </reference>
        </references>
      </pivotArea>
    </chartFormat>
    <chartFormat chart="2" format="20">
      <pivotArea type="data" outline="0" fieldPosition="0">
        <references count="2">
          <reference field="4294967294" count="1" selected="0">
            <x v="0"/>
          </reference>
          <reference field="4" count="1" selected="0">
            <x v="5"/>
          </reference>
        </references>
      </pivotArea>
    </chartFormat>
  </chart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_Channel" cacheId="1603" applyNumberFormats="0" applyBorderFormats="0" applyFontFormats="0" applyPatternFormats="0" applyAlignmentFormats="0" applyWidthHeightFormats="1" dataCaption="Values" updatedVersion="6" minRefreshableVersion="3" rowGrandTotals="0" itemPrintTitles="1" createdVersion="6" indent="0" outline="1" outlineData="1" multipleFieldFilters="0" chartFormat="6" rowHeaderCaption="Channel">
  <location ref="J2:K5" firstHeaderRow="1" firstDataRow="1" firstDataCol="1"/>
  <pivotFields count="7">
    <pivotField numFmtId="14" showAll="0">
      <items count="15">
        <item x="0"/>
        <item sd="0" x="1"/>
        <item sd="0" x="2"/>
        <item sd="0" x="3"/>
        <item sd="0" x="4"/>
        <item sd="0" x="5"/>
        <item sd="0" x="6"/>
        <item sd="0" x="7"/>
        <item sd="0" x="8"/>
        <item sd="0" x="9"/>
        <item sd="0" x="10"/>
        <item sd="0" x="11"/>
        <item sd="0" x="12"/>
        <item x="13"/>
        <item t="default"/>
      </items>
    </pivotField>
    <pivotField showAll="0">
      <items count="4">
        <item x="0"/>
        <item x="1"/>
        <item x="2"/>
        <item t="default"/>
      </items>
    </pivotField>
    <pivotField showAll="0">
      <items count="5">
        <item x="0"/>
        <item x="1"/>
        <item x="2"/>
        <item x="3"/>
        <item t="default"/>
      </items>
    </pivotField>
    <pivotField axis="axisRow" showAll="0">
      <items count="4">
        <item x="2"/>
        <item x="0"/>
        <item x="1"/>
        <item t="default"/>
      </items>
    </pivotField>
    <pivotField showAll="0">
      <items count="8">
        <item x="0"/>
        <item m="1" x="6"/>
        <item x="3"/>
        <item x="4"/>
        <item x="1"/>
        <item x="2"/>
        <item x="5"/>
        <item t="default"/>
      </items>
    </pivotField>
    <pivotField dataField="1" showAll="0"/>
    <pivotField showAll="0" defaultSubtotal="0">
      <items count="6">
        <item x="0"/>
        <item x="1"/>
        <item x="2"/>
        <item x="3"/>
        <item x="4"/>
        <item x="5"/>
      </items>
    </pivotField>
  </pivotFields>
  <rowFields count="1">
    <field x="3"/>
  </rowFields>
  <rowItems count="3">
    <i>
      <x/>
    </i>
    <i>
      <x v="1"/>
    </i>
    <i>
      <x v="2"/>
    </i>
  </rowItems>
  <colItems count="1">
    <i/>
  </colItems>
  <dataFields count="1">
    <dataField name="Sum of Sales" fld="5" baseField="0" baseItem="0"/>
  </dataFields>
  <chartFormats count="1">
    <chartFormat chart="5" format="3"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_Region11" cacheId="1603" applyNumberFormats="0" applyBorderFormats="0" applyFontFormats="0" applyPatternFormats="0" applyAlignmentFormats="0" applyWidthHeightFormats="1" dataCaption="Values" updatedVersion="6" minRefreshableVersion="3" rowGrandTotals="0" itemPrintTitles="1" createdVersion="6" indent="0" outline="1" outlineData="1" multipleFieldFilters="0" chartFormat="3" rowHeaderCaption="Region ">
  <location ref="G9:H13" firstHeaderRow="1" firstDataRow="1" firstDataCol="1"/>
  <pivotFields count="7">
    <pivotField numFmtId="14" showAll="0">
      <items count="15">
        <item x="0"/>
        <item sd="0" x="1"/>
        <item sd="0" x="2"/>
        <item sd="0" x="3"/>
        <item sd="0" x="4"/>
        <item sd="0" x="5"/>
        <item sd="0" x="6"/>
        <item sd="0" x="7"/>
        <item sd="0" x="8"/>
        <item sd="0" x="9"/>
        <item sd="0" x="10"/>
        <item sd="0" x="11"/>
        <item sd="0" x="12"/>
        <item x="13"/>
        <item t="default"/>
      </items>
    </pivotField>
    <pivotField showAll="0">
      <items count="4">
        <item x="0"/>
        <item x="1"/>
        <item x="2"/>
        <item t="default"/>
      </items>
    </pivotField>
    <pivotField axis="axisRow" showAll="0">
      <items count="5">
        <item x="0"/>
        <item x="1"/>
        <item x="2"/>
        <item x="3"/>
        <item t="default"/>
      </items>
    </pivotField>
    <pivotField showAll="0">
      <items count="4">
        <item x="2"/>
        <item x="0"/>
        <item x="1"/>
        <item t="default"/>
      </items>
    </pivotField>
    <pivotField showAll="0">
      <items count="8">
        <item x="0"/>
        <item m="1" x="6"/>
        <item x="3"/>
        <item x="4"/>
        <item x="1"/>
        <item x="2"/>
        <item x="5"/>
        <item t="default"/>
      </items>
    </pivotField>
    <pivotField dataField="1" showAll="0"/>
    <pivotField showAll="0" defaultSubtotal="0">
      <items count="6">
        <item x="0"/>
        <item x="1"/>
        <item x="2"/>
        <item x="3"/>
        <item x="4"/>
        <item x="5"/>
      </items>
    </pivotField>
  </pivotFields>
  <rowFields count="1">
    <field x="2"/>
  </rowFields>
  <rowItems count="4">
    <i>
      <x/>
    </i>
    <i>
      <x v="1"/>
    </i>
    <i>
      <x v="2"/>
    </i>
    <i>
      <x v="3"/>
    </i>
  </rowItems>
  <colItems count="1">
    <i/>
  </colItems>
  <dataFields count="1">
    <dataField name="Sum of Sales" fld="5" baseField="0" baseItem="0"/>
  </dataFields>
  <chartFormats count="5">
    <chartFormat chart="2" format="11" series="1">
      <pivotArea type="data" outline="0" fieldPosition="0">
        <references count="1">
          <reference field="4294967294" count="1" selected="0">
            <x v="0"/>
          </reference>
        </references>
      </pivotArea>
    </chartFormat>
    <chartFormat chart="2" format="12">
      <pivotArea type="data" outline="0" fieldPosition="0">
        <references count="2">
          <reference field="4294967294" count="1" selected="0">
            <x v="0"/>
          </reference>
          <reference field="2" count="1" selected="0">
            <x v="0"/>
          </reference>
        </references>
      </pivotArea>
    </chartFormat>
    <chartFormat chart="2" format="13">
      <pivotArea type="data" outline="0" fieldPosition="0">
        <references count="2">
          <reference field="4294967294" count="1" selected="0">
            <x v="0"/>
          </reference>
          <reference field="2" count="1" selected="0">
            <x v="1"/>
          </reference>
        </references>
      </pivotArea>
    </chartFormat>
    <chartFormat chart="2" format="14">
      <pivotArea type="data" outline="0" fieldPosition="0">
        <references count="2">
          <reference field="4294967294" count="1" selected="0">
            <x v="0"/>
          </reference>
          <reference field="2" count="1" selected="0">
            <x v="2"/>
          </reference>
        </references>
      </pivotArea>
    </chartFormat>
    <chartFormat chart="2" format="15">
      <pivotArea type="data" outline="0" fieldPosition="0">
        <references count="2">
          <reference field="4294967294" count="1" selected="0">
            <x v="0"/>
          </reference>
          <reference field="2" count="1" selected="0">
            <x v="3"/>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_SalesTrend" cacheId="1603" applyNumberFormats="0" applyBorderFormats="0" applyFontFormats="0" applyPatternFormats="0" applyAlignmentFormats="0" applyWidthHeightFormats="1" dataCaption="Values" updatedVersion="6" minRefreshableVersion="3" rowGrandTotals="0" itemPrintTitles="1" createdVersion="6" indent="0" outline="1" outlineData="1" multipleFieldFilters="0" chartFormat="10" rowHeaderCaption="Date">
  <location ref="A2:B54" firstHeaderRow="1" firstDataRow="1" firstDataCol="1"/>
  <pivotFields count="7">
    <pivotField axis="axisRow" numFmtId="14" showAll="0">
      <items count="15">
        <item x="0"/>
        <item sd="0" x="1"/>
        <item sd="0" x="2"/>
        <item sd="0" x="3"/>
        <item sd="0" x="4"/>
        <item sd="0" x="5"/>
        <item sd="0" x="6"/>
        <item sd="0" x="7"/>
        <item sd="0" x="8"/>
        <item sd="0" x="9"/>
        <item sd="0" x="10"/>
        <item sd="0" x="11"/>
        <item sd="0" x="12"/>
        <item x="13"/>
        <item t="default"/>
      </items>
    </pivotField>
    <pivotField showAll="0">
      <items count="4">
        <item x="0"/>
        <item x="1"/>
        <item x="2"/>
        <item t="default"/>
      </items>
    </pivotField>
    <pivotField showAll="0">
      <items count="5">
        <item x="0"/>
        <item x="1"/>
        <item x="2"/>
        <item x="3"/>
        <item t="default"/>
      </items>
    </pivotField>
    <pivotField showAll="0">
      <items count="4">
        <item x="2"/>
        <item x="0"/>
        <item x="1"/>
        <item t="default"/>
      </items>
    </pivotField>
    <pivotField showAll="0">
      <items count="8">
        <item x="0"/>
        <item m="1" x="6"/>
        <item x="3"/>
        <item x="4"/>
        <item x="1"/>
        <item x="2"/>
        <item x="5"/>
        <item t="default"/>
      </items>
    </pivotField>
    <pivotField dataField="1" showAll="0"/>
    <pivotField axis="axisRow" showAll="0" defaultSubtotal="0">
      <items count="6">
        <item x="0"/>
        <item x="1"/>
        <item x="2"/>
        <item x="3"/>
        <item x="4"/>
        <item x="5"/>
      </items>
    </pivotField>
  </pivotFields>
  <rowFields count="2">
    <field x="6"/>
    <field x="0"/>
  </rowFields>
  <rowItems count="52">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x v="4"/>
    </i>
    <i r="1">
      <x v="1"/>
    </i>
    <i r="1">
      <x v="2"/>
    </i>
    <i r="1">
      <x v="3"/>
    </i>
    <i r="1">
      <x v="4"/>
    </i>
    <i r="1">
      <x v="5"/>
    </i>
    <i r="1">
      <x v="6"/>
    </i>
    <i r="1">
      <x v="7"/>
    </i>
    <i r="1">
      <x v="8"/>
    </i>
    <i r="1">
      <x v="9"/>
    </i>
    <i r="1">
      <x v="10"/>
    </i>
    <i r="1">
      <x v="11"/>
    </i>
    <i r="1">
      <x v="12"/>
    </i>
  </rowItems>
  <colItems count="1">
    <i/>
  </colItems>
  <dataFields count="1">
    <dataField name="Sum of Sales" fld="5" baseField="0" baseItem="0"/>
  </dataFields>
  <chartFormats count="1">
    <chartFormat chart="9" format="4"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hannel" sourceName="Channel">
  <pivotTables>
    <pivotTable tabId="2" name="Pivot_SalesTrend"/>
    <pivotTable tabId="2" name="Pivot_Channel"/>
    <pivotTable tabId="2" name="Pivot_Products"/>
    <pivotTable tabId="2" name="Pivot_Region11"/>
    <pivotTable tabId="2" name="Pivot_SalesPerson"/>
    <pivotTable tabId="2" name="Pivot_TopSales"/>
  </pivotTables>
  <data>
    <tabular pivotCacheId="1">
      <items count="3">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duct" sourceName="Product">
  <pivotTables>
    <pivotTable tabId="2" name="Pivot_SalesTrend"/>
    <pivotTable tabId="2" name="Pivot_Channel"/>
    <pivotTable tabId="2" name="Pivot_Products"/>
    <pivotTable tabId="2" name="Pivot_Region11"/>
    <pivotTable tabId="2" name="Pivot_SalesPerson"/>
    <pivotTable tabId="2" name="Pivot_TopSales"/>
  </pivotTables>
  <data>
    <tabular pivotCacheId="1">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alesPerson" sourceName="SalesPerson">
  <pivotTables>
    <pivotTable tabId="2" name="Pivot_TopSales"/>
    <pivotTable tabId="2" name="Pivot_Channel"/>
    <pivotTable tabId="2" name="Pivot_Products"/>
    <pivotTable tabId="2" name="Pivot_Region11"/>
    <pivotTable tabId="2" name="Pivot_SalesPerson"/>
    <pivotTable tabId="2" name="Pivot_SalesTrend"/>
  </pivotTables>
  <data>
    <tabular pivotCacheId="1">
      <items count="7">
        <i x="0" s="1"/>
        <i x="3" s="1"/>
        <i x="4" s="1"/>
        <i x="1" s="1"/>
        <i x="2" s="1"/>
        <i x="5" s="1"/>
        <i x="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_TopSales"/>
    <pivotTable tabId="2" name="Pivot_Channel"/>
    <pivotTable tabId="2" name="Pivot_Products"/>
    <pivotTable tabId="2" name="Pivot_Region11"/>
    <pivotTable tabId="2" name="Pivot_SalesPerson"/>
    <pivotTable tabId="2" name="Pivot_SalesTrend"/>
  </pivotTables>
  <data>
    <tabular pivotCacheId="1">
      <items count="4">
        <i x="0" s="1"/>
        <i x="1" s="1"/>
        <i x="2" s="1"/>
        <i x="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Date" sourceName="Date">
  <pivotTables>
    <pivotTable tabId="2" name="Pivot_TopSales"/>
    <pivotTable tabId="2" name="Pivot_Channel"/>
    <pivotTable tabId="2" name="Pivot_Products"/>
    <pivotTable tabId="2" name="Pivot_Region11"/>
    <pivotTable tabId="2" name="Pivot_SalesPerson"/>
    <pivotTable tabId="2" name="Pivot_SalesTrend"/>
  </pivotTables>
  <data>
    <tabular pivotCacheId="1">
      <items count="14">
        <i x="1" s="1"/>
        <i x="2" s="1"/>
        <i x="3" s="1"/>
        <i x="4" s="1"/>
        <i x="5" s="1"/>
        <i x="6" s="1"/>
        <i x="7" s="1"/>
        <i x="8" s="1"/>
        <i x="9" s="1"/>
        <i x="10" s="1"/>
        <i x="11" s="1"/>
        <i x="12" s="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hannel" cache="Slicer_Channel" caption="Channel" style="Slicer Style 1" rowHeight="241300"/>
  <slicer name="Product" cache="Slicer_Product" caption="Product" style="Slicer Style 1" rowHeight="241300"/>
  <slicer name="SalesPerson" cache="Slicer_SalesPerson" caption="SalesPerson" startItem="3" style="Slicer Style 1" rowHeight="241300"/>
  <slicer name="Region" cache="Slicer_Region" caption="Region" style="Slicer Style 1" rowHeight="241300"/>
  <slicer name="Date" cache="Slicer_Date" caption="Date" columnCount="6"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49"/>
  <sheetViews>
    <sheetView topLeftCell="A19" workbookViewId="0">
      <selection activeCell="E19" sqref="E19"/>
    </sheetView>
  </sheetViews>
  <sheetFormatPr defaultRowHeight="14.5" x14ac:dyDescent="0.35"/>
  <cols>
    <col min="1" max="1" width="11.7265625" style="5" customWidth="1"/>
    <col min="2" max="2" width="8.36328125" bestFit="1" customWidth="1"/>
    <col min="3" max="3" width="6.453125" bestFit="1" customWidth="1"/>
    <col min="4" max="4" width="7.6328125" bestFit="1" customWidth="1"/>
    <col min="5" max="5" width="8.6328125" bestFit="1" customWidth="1"/>
    <col min="6" max="6" width="5.81640625" bestFit="1" customWidth="1"/>
  </cols>
  <sheetData>
    <row r="1" spans="1:8" ht="29" x14ac:dyDescent="0.35">
      <c r="A1" s="4" t="s">
        <v>0</v>
      </c>
      <c r="B1" s="1" t="s">
        <v>1</v>
      </c>
      <c r="C1" s="1" t="s">
        <v>2</v>
      </c>
      <c r="D1" s="1" t="s">
        <v>3</v>
      </c>
      <c r="E1" s="1" t="s">
        <v>4</v>
      </c>
      <c r="F1" s="1" t="s">
        <v>5</v>
      </c>
    </row>
    <row r="2" spans="1:8" x14ac:dyDescent="0.35">
      <c r="A2" s="3">
        <v>42005</v>
      </c>
      <c r="B2" s="2" t="s">
        <v>6</v>
      </c>
      <c r="C2" s="2" t="s">
        <v>7</v>
      </c>
      <c r="D2" s="2" t="s">
        <v>8</v>
      </c>
      <c r="E2" s="2" t="s">
        <v>40</v>
      </c>
      <c r="F2">
        <v>12797</v>
      </c>
      <c r="H2" s="2"/>
    </row>
    <row r="3" spans="1:8" x14ac:dyDescent="0.35">
      <c r="A3" s="3">
        <v>42036</v>
      </c>
      <c r="B3" s="2" t="s">
        <v>10</v>
      </c>
      <c r="C3" s="2" t="s">
        <v>11</v>
      </c>
      <c r="D3" s="2" t="s">
        <v>12</v>
      </c>
      <c r="E3" s="2" t="s">
        <v>13</v>
      </c>
      <c r="F3">
        <v>12453</v>
      </c>
    </row>
    <row r="4" spans="1:8" x14ac:dyDescent="0.35">
      <c r="A4" s="3">
        <v>42064</v>
      </c>
      <c r="B4" s="2" t="s">
        <v>14</v>
      </c>
      <c r="C4" s="2" t="s">
        <v>15</v>
      </c>
      <c r="D4" s="2" t="s">
        <v>16</v>
      </c>
      <c r="E4" s="2" t="s">
        <v>17</v>
      </c>
      <c r="F4">
        <v>11384</v>
      </c>
    </row>
    <row r="5" spans="1:8" x14ac:dyDescent="0.35">
      <c r="A5" s="3">
        <v>42095</v>
      </c>
      <c r="B5" s="2" t="s">
        <v>6</v>
      </c>
      <c r="C5" s="2" t="s">
        <v>18</v>
      </c>
      <c r="D5" s="2" t="s">
        <v>8</v>
      </c>
      <c r="E5" s="2" t="s">
        <v>41</v>
      </c>
      <c r="F5">
        <v>11289</v>
      </c>
    </row>
    <row r="6" spans="1:8" x14ac:dyDescent="0.35">
      <c r="A6" s="3">
        <v>42125</v>
      </c>
      <c r="B6" s="2" t="s">
        <v>10</v>
      </c>
      <c r="C6" s="2" t="s">
        <v>7</v>
      </c>
      <c r="D6" s="2" t="s">
        <v>12</v>
      </c>
      <c r="E6" s="2" t="s">
        <v>9</v>
      </c>
      <c r="F6">
        <v>23838</v>
      </c>
    </row>
    <row r="7" spans="1:8" x14ac:dyDescent="0.35">
      <c r="A7" s="3">
        <v>42156</v>
      </c>
      <c r="B7" s="2" t="s">
        <v>14</v>
      </c>
      <c r="C7" s="2" t="s">
        <v>11</v>
      </c>
      <c r="D7" s="2" t="s">
        <v>16</v>
      </c>
      <c r="E7" s="2" t="s">
        <v>13</v>
      </c>
      <c r="F7">
        <v>6752</v>
      </c>
    </row>
    <row r="8" spans="1:8" x14ac:dyDescent="0.35">
      <c r="A8" s="3">
        <v>42186</v>
      </c>
      <c r="B8" s="2" t="s">
        <v>6</v>
      </c>
      <c r="C8" s="2" t="s">
        <v>15</v>
      </c>
      <c r="D8" s="2" t="s">
        <v>8</v>
      </c>
      <c r="E8" s="2" t="s">
        <v>17</v>
      </c>
      <c r="F8">
        <v>12353</v>
      </c>
    </row>
    <row r="9" spans="1:8" x14ac:dyDescent="0.35">
      <c r="A9" s="3">
        <v>42217</v>
      </c>
      <c r="B9" s="2" t="s">
        <v>10</v>
      </c>
      <c r="C9" s="2" t="s">
        <v>18</v>
      </c>
      <c r="D9" s="2" t="s">
        <v>12</v>
      </c>
      <c r="E9" s="2" t="s">
        <v>19</v>
      </c>
      <c r="F9">
        <v>22313</v>
      </c>
    </row>
    <row r="10" spans="1:8" x14ac:dyDescent="0.35">
      <c r="A10" s="3">
        <v>42248</v>
      </c>
      <c r="B10" s="2" t="s">
        <v>14</v>
      </c>
      <c r="C10" s="2" t="s">
        <v>7</v>
      </c>
      <c r="D10" s="2" t="s">
        <v>16</v>
      </c>
      <c r="E10" s="2" t="s">
        <v>40</v>
      </c>
      <c r="F10">
        <v>10409</v>
      </c>
    </row>
    <row r="11" spans="1:8" x14ac:dyDescent="0.35">
      <c r="A11" s="3">
        <v>42278</v>
      </c>
      <c r="B11" s="2" t="s">
        <v>6</v>
      </c>
      <c r="C11" s="2" t="s">
        <v>11</v>
      </c>
      <c r="D11" s="2" t="s">
        <v>8</v>
      </c>
      <c r="E11" s="2" t="s">
        <v>13</v>
      </c>
      <c r="F11">
        <v>8384</v>
      </c>
    </row>
    <row r="12" spans="1:8" x14ac:dyDescent="0.35">
      <c r="A12" s="3">
        <v>42309</v>
      </c>
      <c r="B12" s="2" t="s">
        <v>10</v>
      </c>
      <c r="C12" s="2" t="s">
        <v>15</v>
      </c>
      <c r="D12" s="2" t="s">
        <v>12</v>
      </c>
      <c r="E12" s="2" t="s">
        <v>17</v>
      </c>
      <c r="F12">
        <v>23501</v>
      </c>
    </row>
    <row r="13" spans="1:8" x14ac:dyDescent="0.35">
      <c r="A13" s="3">
        <v>42339</v>
      </c>
      <c r="B13" s="2" t="s">
        <v>14</v>
      </c>
      <c r="C13" s="2" t="s">
        <v>18</v>
      </c>
      <c r="D13" s="2" t="s">
        <v>16</v>
      </c>
      <c r="E13" s="2" t="s">
        <v>41</v>
      </c>
      <c r="F13">
        <v>5460</v>
      </c>
    </row>
    <row r="14" spans="1:8" x14ac:dyDescent="0.35">
      <c r="A14" s="3">
        <v>42370</v>
      </c>
      <c r="B14" s="2" t="s">
        <v>6</v>
      </c>
      <c r="C14" s="2" t="s">
        <v>7</v>
      </c>
      <c r="D14" s="2" t="s">
        <v>8</v>
      </c>
      <c r="E14" s="2" t="s">
        <v>40</v>
      </c>
      <c r="F14">
        <v>19466</v>
      </c>
    </row>
    <row r="15" spans="1:8" x14ac:dyDescent="0.35">
      <c r="A15" s="3">
        <v>42401</v>
      </c>
      <c r="B15" s="2" t="s">
        <v>10</v>
      </c>
      <c r="C15" s="2" t="s">
        <v>11</v>
      </c>
      <c r="D15" s="2" t="s">
        <v>12</v>
      </c>
      <c r="E15" s="2" t="s">
        <v>13</v>
      </c>
      <c r="F15">
        <v>20981</v>
      </c>
    </row>
    <row r="16" spans="1:8" x14ac:dyDescent="0.35">
      <c r="A16" s="3">
        <v>42430</v>
      </c>
      <c r="B16" s="2" t="s">
        <v>14</v>
      </c>
      <c r="C16" s="2" t="s">
        <v>15</v>
      </c>
      <c r="D16" s="2" t="s">
        <v>16</v>
      </c>
      <c r="E16" s="2" t="s">
        <v>17</v>
      </c>
      <c r="F16">
        <v>5148</v>
      </c>
    </row>
    <row r="17" spans="1:6" x14ac:dyDescent="0.35">
      <c r="A17" s="3">
        <v>42461</v>
      </c>
      <c r="B17" s="2" t="s">
        <v>6</v>
      </c>
      <c r="C17" s="2" t="s">
        <v>18</v>
      </c>
      <c r="D17" s="2" t="s">
        <v>8</v>
      </c>
      <c r="E17" s="2" t="s">
        <v>19</v>
      </c>
      <c r="F17">
        <v>6347</v>
      </c>
    </row>
    <row r="18" spans="1:6" x14ac:dyDescent="0.35">
      <c r="A18" s="3">
        <v>42491</v>
      </c>
      <c r="B18" s="2" t="s">
        <v>10</v>
      </c>
      <c r="C18" s="2" t="s">
        <v>7</v>
      </c>
      <c r="D18" s="2" t="s">
        <v>12</v>
      </c>
      <c r="E18" s="2" t="s">
        <v>9</v>
      </c>
      <c r="F18">
        <v>12694</v>
      </c>
    </row>
    <row r="19" spans="1:6" x14ac:dyDescent="0.35">
      <c r="A19" s="3">
        <v>42522</v>
      </c>
      <c r="B19" s="2" t="s">
        <v>14</v>
      </c>
      <c r="C19" s="2" t="s">
        <v>11</v>
      </c>
      <c r="D19" s="2" t="s">
        <v>16</v>
      </c>
      <c r="E19" s="2" t="s">
        <v>13</v>
      </c>
      <c r="F19">
        <v>10451</v>
      </c>
    </row>
    <row r="20" spans="1:6" x14ac:dyDescent="0.35">
      <c r="A20" s="3">
        <v>42552</v>
      </c>
      <c r="B20" s="2" t="s">
        <v>6</v>
      </c>
      <c r="C20" s="2" t="s">
        <v>15</v>
      </c>
      <c r="D20" s="2" t="s">
        <v>8</v>
      </c>
      <c r="E20" s="2" t="s">
        <v>17</v>
      </c>
      <c r="F20">
        <v>12523</v>
      </c>
    </row>
    <row r="21" spans="1:6" x14ac:dyDescent="0.35">
      <c r="A21" s="3">
        <v>42583</v>
      </c>
      <c r="B21" s="2" t="s">
        <v>10</v>
      </c>
      <c r="C21" s="2" t="s">
        <v>18</v>
      </c>
      <c r="D21" s="2" t="s">
        <v>12</v>
      </c>
      <c r="E21" s="2" t="s">
        <v>41</v>
      </c>
      <c r="F21">
        <v>15407</v>
      </c>
    </row>
    <row r="22" spans="1:6" x14ac:dyDescent="0.35">
      <c r="A22" s="3">
        <v>42614</v>
      </c>
      <c r="B22" s="2" t="s">
        <v>14</v>
      </c>
      <c r="C22" s="2" t="s">
        <v>7</v>
      </c>
      <c r="D22" s="2" t="s">
        <v>16</v>
      </c>
      <c r="E22" s="2" t="s">
        <v>40</v>
      </c>
      <c r="F22">
        <v>6971</v>
      </c>
    </row>
    <row r="23" spans="1:6" x14ac:dyDescent="0.35">
      <c r="A23" s="3">
        <v>42644</v>
      </c>
      <c r="B23" s="2" t="s">
        <v>6</v>
      </c>
      <c r="C23" s="2" t="s">
        <v>11</v>
      </c>
      <c r="D23" s="2" t="s">
        <v>8</v>
      </c>
      <c r="E23" s="2" t="s">
        <v>13</v>
      </c>
      <c r="F23">
        <v>8710</v>
      </c>
    </row>
    <row r="24" spans="1:6" x14ac:dyDescent="0.35">
      <c r="A24" s="3">
        <v>42675</v>
      </c>
      <c r="B24" s="2" t="s">
        <v>10</v>
      </c>
      <c r="C24" s="2" t="s">
        <v>15</v>
      </c>
      <c r="D24" s="2" t="s">
        <v>12</v>
      </c>
      <c r="E24" s="2" t="s">
        <v>17</v>
      </c>
      <c r="F24">
        <v>15602</v>
      </c>
    </row>
    <row r="25" spans="1:6" x14ac:dyDescent="0.35">
      <c r="A25" s="3">
        <v>42705</v>
      </c>
      <c r="B25" s="2" t="s">
        <v>14</v>
      </c>
      <c r="C25" s="2" t="s">
        <v>18</v>
      </c>
      <c r="D25" s="2" t="s">
        <v>16</v>
      </c>
      <c r="E25" s="2" t="s">
        <v>19</v>
      </c>
      <c r="F25">
        <v>8737</v>
      </c>
    </row>
    <row r="26" spans="1:6" x14ac:dyDescent="0.35">
      <c r="A26" s="3">
        <v>42736</v>
      </c>
      <c r="B26" s="2" t="s">
        <v>6</v>
      </c>
      <c r="C26" s="2" t="s">
        <v>7</v>
      </c>
      <c r="D26" s="2" t="s">
        <v>8</v>
      </c>
      <c r="E26" s="2" t="s">
        <v>9</v>
      </c>
      <c r="F26">
        <v>24781</v>
      </c>
    </row>
    <row r="27" spans="1:6" x14ac:dyDescent="0.35">
      <c r="A27" s="3">
        <v>42767</v>
      </c>
      <c r="B27" s="2" t="s">
        <v>10</v>
      </c>
      <c r="C27" s="2" t="s">
        <v>11</v>
      </c>
      <c r="D27" s="2" t="s">
        <v>12</v>
      </c>
      <c r="E27" s="2" t="s">
        <v>13</v>
      </c>
      <c r="F27">
        <v>21864</v>
      </c>
    </row>
    <row r="28" spans="1:6" x14ac:dyDescent="0.35">
      <c r="A28" s="3">
        <v>42795</v>
      </c>
      <c r="B28" s="2" t="s">
        <v>14</v>
      </c>
      <c r="C28" s="2" t="s">
        <v>15</v>
      </c>
      <c r="D28" s="2" t="s">
        <v>16</v>
      </c>
      <c r="E28" s="2" t="s">
        <v>17</v>
      </c>
      <c r="F28">
        <v>21129</v>
      </c>
    </row>
    <row r="29" spans="1:6" x14ac:dyDescent="0.35">
      <c r="A29" s="3">
        <v>42826</v>
      </c>
      <c r="B29" s="2" t="s">
        <v>6</v>
      </c>
      <c r="C29" s="2" t="s">
        <v>18</v>
      </c>
      <c r="D29" s="2" t="s">
        <v>8</v>
      </c>
      <c r="E29" s="2" t="s">
        <v>41</v>
      </c>
      <c r="F29">
        <v>6955</v>
      </c>
    </row>
    <row r="30" spans="1:6" x14ac:dyDescent="0.35">
      <c r="A30" s="3">
        <v>42856</v>
      </c>
      <c r="B30" s="2" t="s">
        <v>10</v>
      </c>
      <c r="C30" s="2" t="s">
        <v>7</v>
      </c>
      <c r="D30" s="2" t="s">
        <v>12</v>
      </c>
      <c r="E30" s="2" t="s">
        <v>40</v>
      </c>
      <c r="F30">
        <v>24035</v>
      </c>
    </row>
    <row r="31" spans="1:6" x14ac:dyDescent="0.35">
      <c r="A31" s="3">
        <v>42887</v>
      </c>
      <c r="B31" s="2" t="s">
        <v>14</v>
      </c>
      <c r="C31" s="2" t="s">
        <v>11</v>
      </c>
      <c r="D31" s="2" t="s">
        <v>16</v>
      </c>
      <c r="E31" s="2" t="s">
        <v>13</v>
      </c>
      <c r="F31">
        <v>11035</v>
      </c>
    </row>
    <row r="32" spans="1:6" x14ac:dyDescent="0.35">
      <c r="A32" s="3">
        <v>42917</v>
      </c>
      <c r="B32" s="2" t="s">
        <v>6</v>
      </c>
      <c r="C32" s="2" t="s">
        <v>15</v>
      </c>
      <c r="D32" s="2" t="s">
        <v>8</v>
      </c>
      <c r="E32" s="2" t="s">
        <v>17</v>
      </c>
      <c r="F32">
        <v>9183</v>
      </c>
    </row>
    <row r="33" spans="1:6" x14ac:dyDescent="0.35">
      <c r="A33" s="3">
        <v>42948</v>
      </c>
      <c r="B33" s="2" t="s">
        <v>10</v>
      </c>
      <c r="C33" s="2" t="s">
        <v>18</v>
      </c>
      <c r="D33" s="2" t="s">
        <v>12</v>
      </c>
      <c r="E33" s="2" t="s">
        <v>41</v>
      </c>
      <c r="F33">
        <v>14980</v>
      </c>
    </row>
    <row r="34" spans="1:6" x14ac:dyDescent="0.35">
      <c r="A34" s="3">
        <v>42979</v>
      </c>
      <c r="B34" s="2" t="s">
        <v>14</v>
      </c>
      <c r="C34" s="2" t="s">
        <v>7</v>
      </c>
      <c r="D34" s="2" t="s">
        <v>16</v>
      </c>
      <c r="E34" s="2" t="s">
        <v>9</v>
      </c>
      <c r="F34">
        <v>14626</v>
      </c>
    </row>
    <row r="35" spans="1:6" x14ac:dyDescent="0.35">
      <c r="A35" s="3">
        <v>43009</v>
      </c>
      <c r="B35" s="2" t="s">
        <v>6</v>
      </c>
      <c r="C35" s="2" t="s">
        <v>11</v>
      </c>
      <c r="D35" s="2" t="s">
        <v>8</v>
      </c>
      <c r="E35" s="2" t="s">
        <v>13</v>
      </c>
      <c r="F35">
        <v>19290</v>
      </c>
    </row>
    <row r="36" spans="1:6" x14ac:dyDescent="0.35">
      <c r="A36" s="3">
        <v>43040</v>
      </c>
      <c r="B36" s="2" t="s">
        <v>10</v>
      </c>
      <c r="C36" s="2" t="s">
        <v>15</v>
      </c>
      <c r="D36" s="2" t="s">
        <v>12</v>
      </c>
      <c r="E36" s="2" t="s">
        <v>17</v>
      </c>
      <c r="F36">
        <v>18328</v>
      </c>
    </row>
    <row r="37" spans="1:6" x14ac:dyDescent="0.35">
      <c r="A37" s="3">
        <v>43070</v>
      </c>
      <c r="B37" s="2" t="s">
        <v>6</v>
      </c>
      <c r="C37" s="2" t="s">
        <v>7</v>
      </c>
      <c r="D37" s="2" t="s">
        <v>8</v>
      </c>
      <c r="E37" s="2" t="s">
        <v>40</v>
      </c>
      <c r="F37">
        <v>16002</v>
      </c>
    </row>
    <row r="38" spans="1:6" x14ac:dyDescent="0.35">
      <c r="A38" s="3">
        <v>43101</v>
      </c>
      <c r="B38" s="2" t="s">
        <v>10</v>
      </c>
      <c r="C38" s="2" t="s">
        <v>11</v>
      </c>
      <c r="D38" s="2" t="s">
        <v>12</v>
      </c>
      <c r="E38" s="2" t="s">
        <v>13</v>
      </c>
      <c r="F38">
        <v>5900</v>
      </c>
    </row>
    <row r="39" spans="1:6" x14ac:dyDescent="0.35">
      <c r="A39" s="3">
        <v>43132</v>
      </c>
      <c r="B39" s="2" t="s">
        <v>14</v>
      </c>
      <c r="C39" s="2" t="s">
        <v>15</v>
      </c>
      <c r="D39" s="2" t="s">
        <v>16</v>
      </c>
      <c r="E39" s="2" t="s">
        <v>17</v>
      </c>
      <c r="F39">
        <v>12488</v>
      </c>
    </row>
    <row r="40" spans="1:6" x14ac:dyDescent="0.35">
      <c r="A40" s="3">
        <v>43160</v>
      </c>
      <c r="B40" s="2" t="s">
        <v>6</v>
      </c>
      <c r="C40" s="2" t="s">
        <v>18</v>
      </c>
      <c r="D40" s="2" t="s">
        <v>8</v>
      </c>
      <c r="E40" s="2" t="s">
        <v>19</v>
      </c>
      <c r="F40">
        <v>5373</v>
      </c>
    </row>
    <row r="41" spans="1:6" x14ac:dyDescent="0.35">
      <c r="A41" s="3">
        <v>43191</v>
      </c>
      <c r="B41" s="2" t="s">
        <v>10</v>
      </c>
      <c r="C41" s="2" t="s">
        <v>7</v>
      </c>
      <c r="D41" s="2" t="s">
        <v>12</v>
      </c>
      <c r="E41" s="2" t="s">
        <v>9</v>
      </c>
      <c r="F41">
        <v>9734</v>
      </c>
    </row>
    <row r="42" spans="1:6" x14ac:dyDescent="0.35">
      <c r="A42" s="3">
        <v>43221</v>
      </c>
      <c r="B42" s="2" t="s">
        <v>14</v>
      </c>
      <c r="C42" s="2" t="s">
        <v>11</v>
      </c>
      <c r="D42" s="2" t="s">
        <v>16</v>
      </c>
      <c r="E42" s="2" t="s">
        <v>13</v>
      </c>
      <c r="F42">
        <v>14455</v>
      </c>
    </row>
    <row r="43" spans="1:6" x14ac:dyDescent="0.35">
      <c r="A43" s="3">
        <v>43252</v>
      </c>
      <c r="B43" s="2" t="s">
        <v>6</v>
      </c>
      <c r="C43" s="2" t="s">
        <v>15</v>
      </c>
      <c r="D43" s="2" t="s">
        <v>8</v>
      </c>
      <c r="E43" s="2" t="s">
        <v>17</v>
      </c>
      <c r="F43">
        <v>18789</v>
      </c>
    </row>
    <row r="44" spans="1:6" x14ac:dyDescent="0.35">
      <c r="A44" s="3">
        <v>43282</v>
      </c>
      <c r="B44" s="2" t="s">
        <v>10</v>
      </c>
      <c r="C44" s="2" t="s">
        <v>18</v>
      </c>
      <c r="D44" s="2" t="s">
        <v>12</v>
      </c>
      <c r="E44" s="2" t="s">
        <v>41</v>
      </c>
      <c r="F44">
        <v>22981</v>
      </c>
    </row>
    <row r="45" spans="1:6" x14ac:dyDescent="0.35">
      <c r="A45" s="3">
        <v>43313</v>
      </c>
      <c r="B45" s="2" t="s">
        <v>14</v>
      </c>
      <c r="C45" s="2" t="s">
        <v>7</v>
      </c>
      <c r="D45" s="2" t="s">
        <v>16</v>
      </c>
      <c r="E45" s="2" t="s">
        <v>40</v>
      </c>
      <c r="F45">
        <v>14824</v>
      </c>
    </row>
    <row r="46" spans="1:6" x14ac:dyDescent="0.35">
      <c r="A46" s="3">
        <v>43344</v>
      </c>
      <c r="B46" s="2" t="s">
        <v>6</v>
      </c>
      <c r="C46" s="2" t="s">
        <v>11</v>
      </c>
      <c r="D46" s="2" t="s">
        <v>8</v>
      </c>
      <c r="E46" s="2" t="s">
        <v>13</v>
      </c>
      <c r="F46">
        <v>18354</v>
      </c>
    </row>
    <row r="47" spans="1:6" x14ac:dyDescent="0.35">
      <c r="A47" s="3">
        <v>43374</v>
      </c>
      <c r="B47" s="2" t="s">
        <v>10</v>
      </c>
      <c r="C47" s="2" t="s">
        <v>15</v>
      </c>
      <c r="D47" s="2" t="s">
        <v>12</v>
      </c>
      <c r="E47" s="2" t="s">
        <v>17</v>
      </c>
      <c r="F47">
        <v>15015</v>
      </c>
    </row>
    <row r="48" spans="1:6" x14ac:dyDescent="0.35">
      <c r="A48" s="3">
        <v>43405</v>
      </c>
      <c r="B48" s="2" t="s">
        <v>14</v>
      </c>
      <c r="C48" s="2" t="s">
        <v>18</v>
      </c>
      <c r="D48" s="2" t="s">
        <v>16</v>
      </c>
      <c r="E48" s="2" t="s">
        <v>41</v>
      </c>
      <c r="F48">
        <v>10262</v>
      </c>
    </row>
    <row r="49" spans="1:6" x14ac:dyDescent="0.35">
      <c r="A49" s="3">
        <v>43435</v>
      </c>
      <c r="B49" s="2" t="s">
        <v>6</v>
      </c>
      <c r="C49" s="2" t="s">
        <v>7</v>
      </c>
      <c r="D49" s="2" t="s">
        <v>8</v>
      </c>
      <c r="E49" s="2" t="s">
        <v>9</v>
      </c>
      <c r="F49">
        <v>22013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54"/>
  <sheetViews>
    <sheetView zoomScaleNormal="100" workbookViewId="0">
      <selection sqref="A1:T32"/>
    </sheetView>
  </sheetViews>
  <sheetFormatPr defaultRowHeight="14.5" x14ac:dyDescent="0.35"/>
  <cols>
    <col min="1" max="1" width="12.36328125" bestFit="1" customWidth="1"/>
    <col min="2" max="2" width="11.26953125" bestFit="1" customWidth="1"/>
    <col min="3" max="3" width="1.1796875" customWidth="1"/>
    <col min="4" max="4" width="14.54296875" customWidth="1"/>
    <col min="5" max="5" width="11.26953125" customWidth="1"/>
    <col min="6" max="6" width="1.26953125" customWidth="1"/>
    <col min="7" max="7" width="12.36328125" bestFit="1" customWidth="1"/>
    <col min="8" max="8" width="12.08984375" customWidth="1"/>
    <col min="9" max="9" width="2.26953125" customWidth="1"/>
    <col min="10" max="10" width="15.6328125" customWidth="1"/>
    <col min="11" max="11" width="11.26953125" bestFit="1" customWidth="1"/>
    <col min="12" max="12" width="3" customWidth="1"/>
    <col min="14" max="14" width="11.26953125" bestFit="1" customWidth="1"/>
  </cols>
  <sheetData>
    <row r="2" spans="1:11" x14ac:dyDescent="0.35">
      <c r="A2" s="6" t="s">
        <v>0</v>
      </c>
      <c r="B2" t="s">
        <v>36</v>
      </c>
      <c r="D2" s="6" t="s">
        <v>36</v>
      </c>
      <c r="E2" s="6" t="s">
        <v>38</v>
      </c>
      <c r="J2" s="6" t="s">
        <v>3</v>
      </c>
      <c r="K2" t="s">
        <v>36</v>
      </c>
    </row>
    <row r="3" spans="1:11" x14ac:dyDescent="0.35">
      <c r="A3" s="7" t="s">
        <v>20</v>
      </c>
      <c r="B3" s="9"/>
      <c r="D3" s="6" t="s">
        <v>1</v>
      </c>
      <c r="E3" t="s">
        <v>20</v>
      </c>
      <c r="F3" t="s">
        <v>33</v>
      </c>
      <c r="G3" t="s">
        <v>34</v>
      </c>
      <c r="H3" t="s">
        <v>35</v>
      </c>
      <c r="J3" s="7" t="s">
        <v>16</v>
      </c>
      <c r="K3" s="9">
        <v>164131</v>
      </c>
    </row>
    <row r="4" spans="1:11" x14ac:dyDescent="0.35">
      <c r="A4" s="8" t="s">
        <v>21</v>
      </c>
      <c r="B4" s="9">
        <v>12797</v>
      </c>
      <c r="D4" s="7" t="s">
        <v>10</v>
      </c>
      <c r="E4" s="9">
        <v>82105</v>
      </c>
      <c r="F4" s="9">
        <v>64684</v>
      </c>
      <c r="G4" s="9">
        <v>79207</v>
      </c>
      <c r="H4" s="9">
        <v>53630</v>
      </c>
      <c r="J4" s="7" t="s">
        <v>8</v>
      </c>
      <c r="K4" s="9">
        <v>232609</v>
      </c>
    </row>
    <row r="5" spans="1:11" x14ac:dyDescent="0.35">
      <c r="A5" s="8" t="s">
        <v>22</v>
      </c>
      <c r="B5" s="9">
        <v>12453</v>
      </c>
      <c r="D5" s="7" t="s">
        <v>6</v>
      </c>
      <c r="E5" s="9">
        <v>44823</v>
      </c>
      <c r="F5" s="9">
        <v>47046</v>
      </c>
      <c r="G5" s="9">
        <v>76211</v>
      </c>
      <c r="H5" s="9">
        <v>64529</v>
      </c>
      <c r="J5" s="7" t="s">
        <v>12</v>
      </c>
      <c r="K5" s="9">
        <v>279626</v>
      </c>
    </row>
    <row r="6" spans="1:11" x14ac:dyDescent="0.35">
      <c r="A6" s="8" t="s">
        <v>23</v>
      </c>
      <c r="B6" s="9">
        <v>11384</v>
      </c>
      <c r="D6" s="7" t="s">
        <v>14</v>
      </c>
      <c r="E6" s="9">
        <v>34005</v>
      </c>
      <c r="F6" s="9">
        <v>31307</v>
      </c>
      <c r="G6" s="9">
        <v>46790</v>
      </c>
      <c r="H6" s="9">
        <v>52029</v>
      </c>
    </row>
    <row r="7" spans="1:11" x14ac:dyDescent="0.35">
      <c r="A7" s="8" t="s">
        <v>24</v>
      </c>
      <c r="B7" s="9">
        <v>11289</v>
      </c>
    </row>
    <row r="8" spans="1:11" x14ac:dyDescent="0.35">
      <c r="A8" s="8" t="s">
        <v>25</v>
      </c>
      <c r="B8" s="9">
        <v>23838</v>
      </c>
    </row>
    <row r="9" spans="1:11" x14ac:dyDescent="0.35">
      <c r="A9" s="8" t="s">
        <v>26</v>
      </c>
      <c r="B9" s="9">
        <v>6752</v>
      </c>
      <c r="D9" s="6" t="s">
        <v>39</v>
      </c>
      <c r="E9" t="s">
        <v>36</v>
      </c>
      <c r="G9" s="6" t="s">
        <v>37</v>
      </c>
      <c r="H9" t="s">
        <v>36</v>
      </c>
      <c r="J9" s="6" t="s">
        <v>1</v>
      </c>
      <c r="K9" t="s">
        <v>36</v>
      </c>
    </row>
    <row r="10" spans="1:11" x14ac:dyDescent="0.35">
      <c r="A10" s="8" t="s">
        <v>27</v>
      </c>
      <c r="B10" s="9">
        <v>12353</v>
      </c>
      <c r="D10" s="7" t="s">
        <v>9</v>
      </c>
      <c r="E10" s="9">
        <v>107686</v>
      </c>
      <c r="G10" s="7" t="s">
        <v>7</v>
      </c>
      <c r="H10" s="9">
        <v>212190</v>
      </c>
      <c r="J10" s="7" t="s">
        <v>6</v>
      </c>
      <c r="K10" s="9">
        <v>232609</v>
      </c>
    </row>
    <row r="11" spans="1:11" x14ac:dyDescent="0.35">
      <c r="A11" s="8" t="s">
        <v>28</v>
      </c>
      <c r="B11" s="9">
        <v>22313</v>
      </c>
      <c r="D11" s="7" t="s">
        <v>13</v>
      </c>
      <c r="E11" s="9">
        <v>158629</v>
      </c>
      <c r="G11" s="7" t="s">
        <v>11</v>
      </c>
      <c r="H11" s="9">
        <v>158629</v>
      </c>
      <c r="J11" s="7" t="s">
        <v>10</v>
      </c>
      <c r="K11" s="9">
        <v>279626</v>
      </c>
    </row>
    <row r="12" spans="1:11" x14ac:dyDescent="0.35">
      <c r="A12" s="8" t="s">
        <v>29</v>
      </c>
      <c r="B12" s="9">
        <v>10409</v>
      </c>
      <c r="D12" s="7" t="s">
        <v>17</v>
      </c>
      <c r="E12" s="9">
        <v>175443</v>
      </c>
      <c r="G12" s="7" t="s">
        <v>15</v>
      </c>
      <c r="H12" s="9">
        <v>175443</v>
      </c>
      <c r="J12" s="7" t="s">
        <v>14</v>
      </c>
      <c r="K12" s="9">
        <v>164131</v>
      </c>
    </row>
    <row r="13" spans="1:11" x14ac:dyDescent="0.35">
      <c r="A13" s="8" t="s">
        <v>30</v>
      </c>
      <c r="B13" s="9">
        <v>8384</v>
      </c>
      <c r="D13" s="7" t="s">
        <v>19</v>
      </c>
      <c r="E13" s="9">
        <v>42770</v>
      </c>
      <c r="G13" s="7" t="s">
        <v>18</v>
      </c>
      <c r="H13" s="9">
        <v>130104</v>
      </c>
    </row>
    <row r="14" spans="1:11" x14ac:dyDescent="0.35">
      <c r="A14" s="8" t="s">
        <v>31</v>
      </c>
      <c r="B14" s="9">
        <v>23501</v>
      </c>
      <c r="D14" s="7" t="s">
        <v>40</v>
      </c>
      <c r="E14" s="9">
        <v>104504</v>
      </c>
    </row>
    <row r="15" spans="1:11" x14ac:dyDescent="0.35">
      <c r="A15" s="8" t="s">
        <v>32</v>
      </c>
      <c r="B15" s="9">
        <v>5460</v>
      </c>
      <c r="D15" s="7" t="s">
        <v>41</v>
      </c>
      <c r="E15" s="9">
        <v>87334</v>
      </c>
    </row>
    <row r="16" spans="1:11" x14ac:dyDescent="0.35">
      <c r="A16" s="7" t="s">
        <v>33</v>
      </c>
      <c r="B16" s="9"/>
    </row>
    <row r="17" spans="1:2" x14ac:dyDescent="0.35">
      <c r="A17" s="8" t="s">
        <v>21</v>
      </c>
      <c r="B17" s="9">
        <v>19466</v>
      </c>
    </row>
    <row r="18" spans="1:2" x14ac:dyDescent="0.35">
      <c r="A18" s="8" t="s">
        <v>22</v>
      </c>
      <c r="B18" s="9">
        <v>20981</v>
      </c>
    </row>
    <row r="19" spans="1:2" x14ac:dyDescent="0.35">
      <c r="A19" s="8" t="s">
        <v>23</v>
      </c>
      <c r="B19" s="9">
        <v>5148</v>
      </c>
    </row>
    <row r="20" spans="1:2" x14ac:dyDescent="0.35">
      <c r="A20" s="8" t="s">
        <v>24</v>
      </c>
      <c r="B20" s="9">
        <v>6347</v>
      </c>
    </row>
    <row r="21" spans="1:2" x14ac:dyDescent="0.35">
      <c r="A21" s="8" t="s">
        <v>25</v>
      </c>
      <c r="B21" s="9">
        <v>12694</v>
      </c>
    </row>
    <row r="22" spans="1:2" x14ac:dyDescent="0.35">
      <c r="A22" s="8" t="s">
        <v>26</v>
      </c>
      <c r="B22" s="9">
        <v>10451</v>
      </c>
    </row>
    <row r="23" spans="1:2" x14ac:dyDescent="0.35">
      <c r="A23" s="8" t="s">
        <v>27</v>
      </c>
      <c r="B23" s="9">
        <v>12523</v>
      </c>
    </row>
    <row r="24" spans="1:2" x14ac:dyDescent="0.35">
      <c r="A24" s="8" t="s">
        <v>28</v>
      </c>
      <c r="B24" s="9">
        <v>15407</v>
      </c>
    </row>
    <row r="25" spans="1:2" x14ac:dyDescent="0.35">
      <c r="A25" s="8" t="s">
        <v>29</v>
      </c>
      <c r="B25" s="9">
        <v>6971</v>
      </c>
    </row>
    <row r="26" spans="1:2" x14ac:dyDescent="0.35">
      <c r="A26" s="8" t="s">
        <v>30</v>
      </c>
      <c r="B26" s="9">
        <v>8710</v>
      </c>
    </row>
    <row r="27" spans="1:2" x14ac:dyDescent="0.35">
      <c r="A27" s="8" t="s">
        <v>31</v>
      </c>
      <c r="B27" s="9">
        <v>15602</v>
      </c>
    </row>
    <row r="28" spans="1:2" x14ac:dyDescent="0.35">
      <c r="A28" s="8" t="s">
        <v>32</v>
      </c>
      <c r="B28" s="9">
        <v>8737</v>
      </c>
    </row>
    <row r="29" spans="1:2" x14ac:dyDescent="0.35">
      <c r="A29" s="7" t="s">
        <v>34</v>
      </c>
      <c r="B29" s="9"/>
    </row>
    <row r="30" spans="1:2" x14ac:dyDescent="0.35">
      <c r="A30" s="8" t="s">
        <v>21</v>
      </c>
      <c r="B30" s="9">
        <v>24781</v>
      </c>
    </row>
    <row r="31" spans="1:2" x14ac:dyDescent="0.35">
      <c r="A31" s="8" t="s">
        <v>22</v>
      </c>
      <c r="B31" s="9">
        <v>21864</v>
      </c>
    </row>
    <row r="32" spans="1:2" x14ac:dyDescent="0.35">
      <c r="A32" s="8" t="s">
        <v>23</v>
      </c>
      <c r="B32" s="9">
        <v>21129</v>
      </c>
    </row>
    <row r="33" spans="1:2" x14ac:dyDescent="0.35">
      <c r="A33" s="8" t="s">
        <v>24</v>
      </c>
      <c r="B33" s="9">
        <v>6955</v>
      </c>
    </row>
    <row r="34" spans="1:2" x14ac:dyDescent="0.35">
      <c r="A34" s="8" t="s">
        <v>25</v>
      </c>
      <c r="B34" s="9">
        <v>24035</v>
      </c>
    </row>
    <row r="35" spans="1:2" x14ac:dyDescent="0.35">
      <c r="A35" s="8" t="s">
        <v>26</v>
      </c>
      <c r="B35" s="9">
        <v>11035</v>
      </c>
    </row>
    <row r="36" spans="1:2" x14ac:dyDescent="0.35">
      <c r="A36" s="8" t="s">
        <v>27</v>
      </c>
      <c r="B36" s="9">
        <v>9183</v>
      </c>
    </row>
    <row r="37" spans="1:2" x14ac:dyDescent="0.35">
      <c r="A37" s="8" t="s">
        <v>28</v>
      </c>
      <c r="B37" s="9">
        <v>14980</v>
      </c>
    </row>
    <row r="38" spans="1:2" x14ac:dyDescent="0.35">
      <c r="A38" s="8" t="s">
        <v>29</v>
      </c>
      <c r="B38" s="9">
        <v>14626</v>
      </c>
    </row>
    <row r="39" spans="1:2" x14ac:dyDescent="0.35">
      <c r="A39" s="8" t="s">
        <v>30</v>
      </c>
      <c r="B39" s="9">
        <v>19290</v>
      </c>
    </row>
    <row r="40" spans="1:2" x14ac:dyDescent="0.35">
      <c r="A40" s="8" t="s">
        <v>31</v>
      </c>
      <c r="B40" s="9">
        <v>18328</v>
      </c>
    </row>
    <row r="41" spans="1:2" x14ac:dyDescent="0.35">
      <c r="A41" s="8" t="s">
        <v>32</v>
      </c>
      <c r="B41" s="9">
        <v>16002</v>
      </c>
    </row>
    <row r="42" spans="1:2" x14ac:dyDescent="0.35">
      <c r="A42" s="7" t="s">
        <v>35</v>
      </c>
      <c r="B42" s="9"/>
    </row>
    <row r="43" spans="1:2" x14ac:dyDescent="0.35">
      <c r="A43" s="8" t="s">
        <v>21</v>
      </c>
      <c r="B43" s="9">
        <v>5900</v>
      </c>
    </row>
    <row r="44" spans="1:2" x14ac:dyDescent="0.35">
      <c r="A44" s="8" t="s">
        <v>22</v>
      </c>
      <c r="B44" s="9">
        <v>12488</v>
      </c>
    </row>
    <row r="45" spans="1:2" x14ac:dyDescent="0.35">
      <c r="A45" s="8" t="s">
        <v>23</v>
      </c>
      <c r="B45" s="9">
        <v>5373</v>
      </c>
    </row>
    <row r="46" spans="1:2" x14ac:dyDescent="0.35">
      <c r="A46" s="8" t="s">
        <v>24</v>
      </c>
      <c r="B46" s="9">
        <v>9734</v>
      </c>
    </row>
    <row r="47" spans="1:2" x14ac:dyDescent="0.35">
      <c r="A47" s="8" t="s">
        <v>25</v>
      </c>
      <c r="B47" s="9">
        <v>14455</v>
      </c>
    </row>
    <row r="48" spans="1:2" x14ac:dyDescent="0.35">
      <c r="A48" s="8" t="s">
        <v>26</v>
      </c>
      <c r="B48" s="9">
        <v>18789</v>
      </c>
    </row>
    <row r="49" spans="1:2" x14ac:dyDescent="0.35">
      <c r="A49" s="8" t="s">
        <v>27</v>
      </c>
      <c r="B49" s="9">
        <v>22981</v>
      </c>
    </row>
    <row r="50" spans="1:2" x14ac:dyDescent="0.35">
      <c r="A50" s="8" t="s">
        <v>28</v>
      </c>
      <c r="B50" s="9">
        <v>14824</v>
      </c>
    </row>
    <row r="51" spans="1:2" x14ac:dyDescent="0.35">
      <c r="A51" s="8" t="s">
        <v>29</v>
      </c>
      <c r="B51" s="9">
        <v>18354</v>
      </c>
    </row>
    <row r="52" spans="1:2" x14ac:dyDescent="0.35">
      <c r="A52" s="8" t="s">
        <v>30</v>
      </c>
      <c r="B52" s="9">
        <v>15015</v>
      </c>
    </row>
    <row r="53" spans="1:2" x14ac:dyDescent="0.35">
      <c r="A53" s="8" t="s">
        <v>31</v>
      </c>
      <c r="B53" s="9">
        <v>10262</v>
      </c>
    </row>
    <row r="54" spans="1:2" x14ac:dyDescent="0.35">
      <c r="A54" s="8" t="s">
        <v>32</v>
      </c>
      <c r="B54" s="9">
        <v>22013</v>
      </c>
    </row>
  </sheetData>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S25"/>
  <sheetViews>
    <sheetView showGridLines="0" showRowColHeaders="0" tabSelected="1" zoomScale="96" zoomScaleNormal="96" workbookViewId="0">
      <selection sqref="A1:T32"/>
    </sheetView>
  </sheetViews>
  <sheetFormatPr defaultRowHeight="14.5" x14ac:dyDescent="0.35"/>
  <cols>
    <col min="1" max="16384" width="8.7265625" style="10"/>
  </cols>
  <sheetData>
    <row r="25" spans="19:19" x14ac:dyDescent="0.35">
      <c r="S25" s="10" t="s">
        <v>42</v>
      </c>
    </row>
  </sheetData>
  <pageMargins left="0.7" right="0.7" top="0.75" bottom="0.75" header="0.3" footer="0.3"/>
  <pageSetup paperSize="8" fitToHeight="0" orientation="landscape"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Raw Data</vt:lpstr>
      <vt:lpstr>Pivot table Analyzing</vt:lpstr>
      <vt:lpstr>Dashboard</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cp:lastPrinted>2026-03-26T17:58:28Z</cp:lastPrinted>
  <dcterms:created xsi:type="dcterms:W3CDTF">2026-03-26T13:03:58Z</dcterms:created>
  <dcterms:modified xsi:type="dcterms:W3CDTF">2026-03-26T17:58:50Z</dcterms:modified>
</cp:coreProperties>
</file>